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kages" sheetId="1" r:id="rId5"/>
    <sheet state="visible" name="Tier 1" sheetId="2" r:id="rId6"/>
    <sheet state="visible" name="Tier 2" sheetId="3" r:id="rId7"/>
    <sheet state="visible" name="Tier 3" sheetId="4" r:id="rId8"/>
    <sheet state="visible" name="Add-Ons" sheetId="5" r:id="rId9"/>
  </sheets>
  <definedNames>
    <definedName hidden="1" localSheetId="1" name="Z_2050A15C_0619_426F_B892_FED4CD0E1579_.wvu.FilterData">'Tier 1'!$A$13:$I$29</definedName>
    <definedName hidden="1" localSheetId="2" name="Z_2050A15C_0619_426F_B892_FED4CD0E1579_.wvu.FilterData">'Tier 2'!$A$13:$I$29</definedName>
    <definedName hidden="1" localSheetId="3" name="Z_2050A15C_0619_426F_B892_FED4CD0E1579_.wvu.FilterData">'Tier 3'!$A$13:$I$29</definedName>
  </definedNames>
  <calcPr/>
  <customWorkbookViews>
    <customWorkbookView activeSheetId="0" maximized="1" windowHeight="0" windowWidth="0" guid="{2050A15C-0619-426F-B892-FED4CD0E1579}" name="Group by Phase"/>
  </customWorkbookViews>
</workbook>
</file>

<file path=xl/sharedStrings.xml><?xml version="1.0" encoding="utf-8"?>
<sst xmlns="http://schemas.openxmlformats.org/spreadsheetml/2006/main" count="392" uniqueCount="121">
  <si>
    <t>I</t>
  </si>
  <si>
    <t>II</t>
  </si>
  <si>
    <t>III</t>
  </si>
  <si>
    <t>Ideal for startups or small businesses that need a clean, professional logo and foundational visual identity to get to market quickly.</t>
  </si>
  <si>
    <t>Ideal for established small-to-midsize businesses ready to elevate their brand with more strategic exploration and refined creative development.</t>
  </si>
  <si>
    <t>Ideal for growing businesses that require a robust, scalable brand identity system with expanded creative exploration and versatility across platforms.</t>
  </si>
  <si>
    <t>Project Kickoff</t>
  </si>
  <si>
    <t>Internal Project Kickoff (30 minutes)</t>
  </si>
  <si>
    <t>Client Kickoff Call (30 minutes)</t>
  </si>
  <si>
    <t>Client Kickoff Call (1 hour)</t>
  </si>
  <si>
    <t>Research &amp; Inspiration</t>
  </si>
  <si>
    <t>Inspiration Presentation Call (30 minutes)</t>
  </si>
  <si>
    <t>Inspiration Presentation Call (1 hour)</t>
  </si>
  <si>
    <t>Brand Design</t>
  </si>
  <si>
    <t>Exploration</t>
  </si>
  <si>
    <t>Logo Sketches (up to 5 hours)</t>
  </si>
  <si>
    <t>Logo Sketches (up to 10 hours)</t>
  </si>
  <si>
    <t>Logo Sketches (up to 15 hours)</t>
  </si>
  <si>
    <t>Visual Direction Presentation (30 minutes)</t>
  </si>
  <si>
    <t>Visual Direction Presentation (1 hour)</t>
  </si>
  <si>
    <t>2 logo concepts (16 hours)</t>
  </si>
  <si>
    <t>2 logo concepts to choose (30 hours)</t>
  </si>
  <si>
    <t>3 logo concepts to choose (45 hours)</t>
  </si>
  <si>
    <t>Brand Design Presentation (30 minutes)</t>
  </si>
  <si>
    <t>Brand Design Presentation (1 hour)</t>
  </si>
  <si>
    <t>Revisions</t>
  </si>
  <si>
    <t>Up to 5 hours of revisions on the selected concept</t>
  </si>
  <si>
    <t>Up to 8 hours of revisions on the selected concept</t>
  </si>
  <si>
    <t>Final Deliverables</t>
  </si>
  <si>
    <t>Primary logo in multiple formats:</t>
  </si>
  <si>
    <t>Primary and secondary logos in multiple formats and orientations:</t>
  </si>
  <si>
    <t>PNG, JPG, SVG, EPS</t>
  </si>
  <si>
    <t>Social Media Icons</t>
  </si>
  <si>
    <t>Font Files</t>
  </si>
  <si>
    <t>Account &amp; Production Management</t>
  </si>
  <si>
    <t>Account Service</t>
  </si>
  <si>
    <t>Production Management</t>
  </si>
  <si>
    <t>Base Starting Price</t>
  </si>
  <si>
    <t>See Add-Ons for more options.</t>
  </si>
  <si>
    <t>Tier 1 Work Examples</t>
  </si>
  <si>
    <t>Tier 2 Work Examples</t>
  </si>
  <si>
    <t>Tier 3 Work Examples</t>
  </si>
  <si>
    <t>Internal Estimate</t>
  </si>
  <si>
    <t>Client:</t>
  </si>
  <si>
    <t>TBD</t>
  </si>
  <si>
    <t>Project:</t>
  </si>
  <si>
    <t>Branding</t>
  </si>
  <si>
    <t>Date Estimated:</t>
  </si>
  <si>
    <t>Phase</t>
  </si>
  <si>
    <t>Activity</t>
  </si>
  <si>
    <t>Task</t>
  </si>
  <si>
    <t>Description</t>
  </si>
  <si>
    <t>Team</t>
  </si>
  <si>
    <t>Hours</t>
  </si>
  <si>
    <t>Rate</t>
  </si>
  <si>
    <t>Total</t>
  </si>
  <si>
    <t>Notes</t>
  </si>
  <si>
    <t>1. Project Kickoff</t>
  </si>
  <si>
    <t>Internal Project Kickoff</t>
  </si>
  <si>
    <t xml:space="preserve">Align the internal team on project goals, timeline, roles, and responsibilities. Review client-provided materials, discuss project vision and strategic direction, confirm deliverables, and identify any potential challenges. </t>
  </si>
  <si>
    <t>Nick, Kellie, Account Manager</t>
  </si>
  <si>
    <t>30 min call (3 team members)</t>
  </si>
  <si>
    <t>Client Kickoff Call</t>
  </si>
  <si>
    <t>Call with the client to understand their goals, brand vision, and project scope. Review initial findings, confirm objectives, and align on the creative direction to ensure we’re on the same page before moving forward with mood boards and design concepts.</t>
  </si>
  <si>
    <t>Nick, Account Manager</t>
  </si>
  <si>
    <t>30 min call (2 team members)</t>
  </si>
  <si>
    <t>Creative Direction</t>
  </si>
  <si>
    <t xml:space="preserve">Conduct research on industry trends, competitors, and potential design inspirations. </t>
  </si>
  <si>
    <t>Nick</t>
  </si>
  <si>
    <t>Inspiration Presentation Call</t>
  </si>
  <si>
    <t>Presentation and discussion of initial research findings and visual inspiration.</t>
  </si>
  <si>
    <t>2. Brand Design</t>
  </si>
  <si>
    <t>Creative Design</t>
  </si>
  <si>
    <t>Logo Sketches</t>
  </si>
  <si>
    <t xml:space="preserve">Provide loose logo concept sketches, exploring a range of font styles, brand marks, and color palette options. Revisions are not anticipated at this stage; if requested, they will be scoped and estimated separately based on client feedback. Up to 5 hours. </t>
  </si>
  <si>
    <t>Visual Direction Presentation</t>
  </si>
  <si>
    <t xml:space="preserve">Present directions to the client for feedback. Explain the chosen elements and how they will guide the brand design, ensuring alignment with the project's vision. </t>
  </si>
  <si>
    <t>Develop 2 logo concepts, including color palettes, typography, and visual mockups. Options to be shown in a designed presentation.</t>
  </si>
  <si>
    <t>Brand Design Presentation</t>
  </si>
  <si>
    <t>Present the completed brand designs to the client, walking through each element to explain our design choices and how they align with the brand’s objectives.</t>
  </si>
  <si>
    <t>Up to 5 hours of revisions on the selected concept.</t>
  </si>
  <si>
    <t>4. Final Deliverables</t>
  </si>
  <si>
    <t>Logo Files</t>
  </si>
  <si>
    <t>Package logo in multiple formats: PNG, JPG, SVG, EPS</t>
  </si>
  <si>
    <t>Deb</t>
  </si>
  <si>
    <t>Social Icons</t>
  </si>
  <si>
    <t>Resize and package logo for social media channels.</t>
  </si>
  <si>
    <t xml:space="preserve">Package and provide all licensed brand fonts in appropriate formats for print and digital use. </t>
  </si>
  <si>
    <t>5. General</t>
  </si>
  <si>
    <t>Account Management</t>
  </si>
  <si>
    <t>Provide ongoing coordination and communication between the client and internal team. This includes managing timelines, organizing meetings, responding to client questions, ensuring deliverables stay on track, and maintaining project alignment with goals and expectations.</t>
  </si>
  <si>
    <t>Account Manager</t>
  </si>
  <si>
    <t>Oversee the execution of all project deliverables, ensuring quality, accuracy, and consistency across all brand assets. Manage internal workflows, track progress, coordinate cross-functional team efforts, and maintain alignment with project milestones and creative direction.</t>
  </si>
  <si>
    <t>Kellie</t>
  </si>
  <si>
    <t>Formulating New Business</t>
  </si>
  <si>
    <t>Branding - Tier 2</t>
  </si>
  <si>
    <t xml:space="preserve">Provide loose logo concept sketches, exploring a range of font styles, brand marks, and color palette options. Revisions are not anticipated at this stage; if requested, they will be scoped and estimated separately based on client feedback. Up to 10 hours. </t>
  </si>
  <si>
    <t xml:space="preserve">Develop 2 logo concepts, including color palettes, typography. Options to be shown in a designed presentation which will result in being the final brand guide. </t>
  </si>
  <si>
    <t>1 hour call (2 team members)</t>
  </si>
  <si>
    <t>Up to 8 hours of revisions on the selected concept.</t>
  </si>
  <si>
    <t>Branding - Tier 3</t>
  </si>
  <si>
    <t xml:space="preserve">Provide loose logo concept sketches, exploring a range of font styles, brand marks, and color palette options. Revisions are not anticipated at this stage; if requested, they will be scoped and estimated separately based on client feedback. Up to 15 hours. </t>
  </si>
  <si>
    <t>Develop 3 logo concepts, including color palettes, typography, and visual mockups. Options to be shown in a designed presentation.</t>
  </si>
  <si>
    <t>Nick, Deb</t>
  </si>
  <si>
    <t>Package primary and secondary logo in multiple formats, PNG, JPG, SVG, EPS.</t>
  </si>
  <si>
    <t>Item</t>
  </si>
  <si>
    <t>Brand Asset Library Audit</t>
  </si>
  <si>
    <t>Inventory of all marketing assets and guidance on what we should update once the final logo is chosen.</t>
  </si>
  <si>
    <t>Additional Concepts</t>
  </si>
  <si>
    <t xml:space="preserve">An additional logo concept with color palette and typography. </t>
  </si>
  <si>
    <t>Design Assistance</t>
  </si>
  <si>
    <t>Ongoing support for minor design tasks, such as resizing logos, adjusting brand assets, or providing guidance on how to apply brand elements correctly in various applications.</t>
  </si>
  <si>
    <t xml:space="preserve">Oversee designer throughout project. </t>
  </si>
  <si>
    <t>Brand Messaging</t>
  </si>
  <si>
    <t>Daniel to outline and estimate upon request.</t>
  </si>
  <si>
    <t>Marketing Coordinator</t>
  </si>
  <si>
    <t>Execution and support of marketing initiatives, including campaign setup, content scheduling, asset organization, and cross-team coordination to ensure timely and accurate delivery.</t>
  </si>
  <si>
    <t>Essentials PDF Brand Guide</t>
  </si>
  <si>
    <r>
      <rPr>
        <rFont val="DM Sans"/>
        <b/>
        <color rgb="FF000000"/>
        <sz val="9.0"/>
      </rPr>
      <t>Logo Usage Guidelines</t>
    </r>
    <r>
      <rPr>
        <rFont val="DM Sans"/>
        <color rgb="FF000000"/>
        <sz val="9.0"/>
      </rPr>
      <t xml:space="preserve">
Primary logo variations (left aligned, centered, stacked)
Social media logos
</t>
    </r>
    <r>
      <rPr>
        <rFont val="DM Sans"/>
        <b/>
        <color rgb="FF000000"/>
        <sz val="9.0"/>
      </rPr>
      <t>Color Palette</t>
    </r>
    <r>
      <rPr>
        <rFont val="DM Sans"/>
        <color rgb="FF000000"/>
        <sz val="9.0"/>
      </rPr>
      <t xml:space="preserve">
Primary brand colors
HEX, RGB, CMYK, and Pantone values
</t>
    </r>
    <r>
      <rPr>
        <rFont val="DM Sans"/>
        <b/>
        <color rgb="FF000000"/>
        <sz val="9.0"/>
      </rPr>
      <t>Typography</t>
    </r>
    <r>
      <rPr>
        <rFont val="DM Sans"/>
        <color rgb="FF000000"/>
        <sz val="9.0"/>
      </rPr>
      <t xml:space="preserve">
Primary and secondary fonts
Font usage examples (headings, body text)</t>
    </r>
  </si>
  <si>
    <t>Premium Brand Guide</t>
  </si>
  <si>
    <r>
      <rPr>
        <rFont val="DM Sans"/>
        <b/>
        <color rgb="FF000000"/>
        <sz val="9.0"/>
      </rPr>
      <t>Logo Usage Guidelines</t>
    </r>
    <r>
      <rPr>
        <rFont val="DM Sans"/>
        <color rgb="FF000000"/>
        <sz val="9.0"/>
      </rPr>
      <t xml:space="preserve">
Primary logo variations (left aligned, centered, stacked)
Monochrome and full-color applications
Social media logos
</t>
    </r>
    <r>
      <rPr>
        <rFont val="DM Sans"/>
        <b/>
        <color rgb="FF000000"/>
        <sz val="9.0"/>
      </rPr>
      <t>Color Palette</t>
    </r>
    <r>
      <rPr>
        <rFont val="DM Sans"/>
        <color rgb="FF000000"/>
        <sz val="9.0"/>
      </rPr>
      <t xml:space="preserve">
Primary and secondary brand colors
HEX, RGB, CMYK, and Pantone values
</t>
    </r>
    <r>
      <rPr>
        <rFont val="DM Sans"/>
        <b/>
        <color rgb="FF000000"/>
        <sz val="9.0"/>
      </rPr>
      <t>Typography</t>
    </r>
    <r>
      <rPr>
        <rFont val="DM Sans"/>
        <color rgb="FF000000"/>
        <sz val="9.0"/>
      </rPr>
      <t xml:space="preserve">
Font hierarchy (Headings, subheadings, body text)
Font usage examples for digital and print
</t>
    </r>
    <r>
      <rPr>
        <rFont val="DM Sans"/>
        <b/>
        <color rgb="FF000000"/>
        <sz val="9.0"/>
      </rPr>
      <t>Imagery &amp; Graphic Style</t>
    </r>
    <r>
      <rPr>
        <rFont val="DM Sans"/>
        <color rgb="FF000000"/>
        <sz val="9.0"/>
      </rPr>
      <t xml:space="preserve">
Approved photography styles
Iconography and graphic elements guidelines
</t>
    </r>
    <r>
      <rPr>
        <rFont val="DM Sans"/>
        <b/>
        <color rgb="FF000000"/>
        <sz val="9.0"/>
      </rPr>
      <t>Brand Mockups</t>
    </r>
    <r>
      <rPr>
        <rFont val="DM Sans"/>
        <color rgb="FF000000"/>
        <sz val="9.0"/>
      </rPr>
      <t xml:space="preserve">
Up to 3 mockups of the logo applied to real-world materials (e.g., business card, social media post, signage, apparel, packaging, etc.)</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</si>
</sst>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0.0"/>
  </numFmts>
  <fonts count="16">
    <font>
      <sz val="10.0"/>
      <color rgb="FF000000"/>
      <name val="Arial"/>
      <scheme val="minor"/>
    </font>
    <font>
      <b/>
      <sz val="18.0"/>
      <color rgb="FF000000"/>
      <name val="DM Sans"/>
    </font>
    <font>
      <b/>
      <color rgb="FF000000"/>
      <name val="DM Sans"/>
    </font>
    <font>
      <sz val="9.0"/>
      <color rgb="FF000000"/>
      <name val="DM Sans"/>
    </font>
    <font>
      <b/>
      <sz val="11.0"/>
      <color rgb="FF000000"/>
      <name val="DM Sans"/>
    </font>
    <font>
      <sz val="11.0"/>
      <color rgb="FF000000"/>
      <name val="DM Sans"/>
    </font>
    <font>
      <b/>
      <sz val="9.0"/>
      <color rgb="FF000000"/>
      <name val="DM Sans"/>
    </font>
    <font>
      <u/>
      <sz val="9.0"/>
      <color rgb="FF000000"/>
      <name val="DM Sans"/>
    </font>
    <font>
      <b/>
      <sz val="9.0"/>
      <color theme="1"/>
      <name val="DM Sans"/>
    </font>
    <font>
      <b/>
      <sz val="36.0"/>
      <color theme="1"/>
      <name val="DM Sans"/>
    </font>
    <font>
      <color theme="1"/>
      <name val="Arial"/>
    </font>
    <font>
      <b/>
      <sz val="11.0"/>
      <color theme="1"/>
      <name val="DM Sans"/>
    </font>
    <font>
      <sz val="11.0"/>
      <color theme="1"/>
      <name val="DM Sans"/>
    </font>
    <font>
      <sz val="9.0"/>
      <color theme="1"/>
      <name val="DM Sans"/>
    </font>
    <font>
      <sz val="9.0"/>
      <color rgb="FF434343"/>
      <name val="DM Sans"/>
    </font>
    <font>
      <b/>
      <sz val="9.0"/>
      <color rgb="FFFFFFFF"/>
      <name val="DM Sans"/>
    </font>
  </fonts>
  <fills count="8">
    <fill>
      <patternFill patternType="none"/>
    </fill>
    <fill>
      <patternFill patternType="lightGray"/>
    </fill>
    <fill>
      <patternFill patternType="solid">
        <fgColor rgb="FF99F3FF"/>
        <bgColor rgb="FF99F3FF"/>
      </patternFill>
    </fill>
    <fill>
      <patternFill patternType="solid">
        <fgColor rgb="FF66EEFF"/>
        <bgColor rgb="FF66EEFF"/>
      </patternFill>
    </fill>
    <fill>
      <patternFill patternType="solid">
        <fgColor rgb="FF00E2FF"/>
        <bgColor rgb="FF00E2FF"/>
      </patternFill>
    </fill>
    <fill>
      <patternFill patternType="solid">
        <fgColor rgb="FFF1F1F5"/>
        <bgColor rgb="FFF1F1F5"/>
      </patternFill>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vertical="center" wrapText="1"/>
    </xf>
    <xf borderId="0" fillId="3" fontId="1" numFmtId="0" xfId="0" applyAlignment="1" applyFill="1" applyFont="1">
      <alignment horizontal="center" readingOrder="0" shrinkToFit="0" vertical="center" wrapText="1"/>
    </xf>
    <xf borderId="0" fillId="4" fontId="1" numFmtId="0" xfId="0" applyAlignment="1" applyFill="1" applyFont="1">
      <alignment horizontal="center" readingOrder="0" shrinkToFit="0" vertical="center" wrapText="1"/>
    </xf>
    <xf borderId="0" fillId="2" fontId="3" numFmtId="0" xfId="0" applyAlignment="1" applyFont="1">
      <alignment horizontal="center" readingOrder="0" shrinkToFit="0" vertical="center" wrapText="1"/>
    </xf>
    <xf borderId="0" fillId="0" fontId="3" numFmtId="0" xfId="0" applyAlignment="1" applyFont="1">
      <alignment shrinkToFit="0" vertical="center" wrapText="1"/>
    </xf>
    <xf borderId="0" fillId="3" fontId="3" numFmtId="0" xfId="0" applyAlignment="1" applyFont="1">
      <alignment horizontal="center" readingOrder="0" shrinkToFit="0" vertical="center" wrapText="1"/>
    </xf>
    <xf borderId="0" fillId="4"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3" numFmtId="164" xfId="0" applyAlignment="1" applyFont="1" applyNumberFormat="1">
      <alignment horizontal="center" shrinkToFit="0" vertical="center" wrapText="1"/>
    </xf>
    <xf borderId="0" fillId="0" fontId="5" numFmtId="0" xfId="0" applyAlignment="1" applyFont="1">
      <alignment shrinkToFit="0" vertical="center" wrapText="1"/>
    </xf>
    <xf borderId="0" fillId="5" fontId="4" numFmtId="0" xfId="0" applyAlignment="1" applyFill="1" applyFont="1">
      <alignment horizontal="center" readingOrder="0" shrinkToFit="0" vertical="center" wrapText="1"/>
    </xf>
    <xf borderId="0" fillId="5" fontId="5" numFmtId="164"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164" xfId="0" applyAlignment="1" applyFont="1" applyNumberFormat="1">
      <alignment horizontal="center" shrinkToFit="0" vertical="center" wrapText="1"/>
    </xf>
    <xf borderId="0" fillId="2" fontId="4" numFmtId="0" xfId="0" applyAlignment="1" applyFont="1">
      <alignment horizontal="center" readingOrder="0" shrinkToFit="0" vertical="center" wrapText="1"/>
    </xf>
    <xf borderId="0" fillId="2" fontId="4" numFmtId="164" xfId="0" applyAlignment="1" applyFont="1" applyNumberFormat="1">
      <alignment horizontal="center" shrinkToFit="0" vertical="center" wrapText="1"/>
    </xf>
    <xf borderId="0" fillId="3" fontId="4" numFmtId="0" xfId="0" applyAlignment="1" applyFont="1">
      <alignment horizontal="center" readingOrder="0" shrinkToFit="0" vertical="center" wrapText="1"/>
    </xf>
    <xf borderId="0" fillId="3" fontId="4" numFmtId="164" xfId="0" applyAlignment="1" applyFont="1" applyNumberFormat="1">
      <alignment horizontal="center" shrinkToFit="0" vertical="center" wrapText="1"/>
    </xf>
    <xf borderId="0" fillId="4" fontId="4" numFmtId="0" xfId="0" applyAlignment="1" applyFont="1">
      <alignment horizontal="center" readingOrder="0" shrinkToFit="0" vertical="center" wrapText="1"/>
    </xf>
    <xf borderId="0" fillId="4" fontId="4" numFmtId="164" xfId="0" applyAlignment="1" applyFont="1" applyNumberFormat="1">
      <alignment horizontal="center" shrinkToFit="0" vertical="center" wrapText="1"/>
    </xf>
    <xf borderId="0" fillId="0" fontId="7" numFmtId="0" xfId="0" applyAlignment="1" applyFont="1">
      <alignment horizontal="center" readingOrder="0" shrinkToFit="0" vertical="center" wrapText="1"/>
    </xf>
    <xf borderId="0" fillId="0" fontId="8" numFmtId="0" xfId="0" applyAlignment="1" applyFont="1">
      <alignment horizontal="center" shrinkToFit="0" wrapText="1"/>
    </xf>
    <xf borderId="0" fillId="0" fontId="9" numFmtId="0" xfId="0" applyAlignment="1" applyFont="1">
      <alignment shrinkToFit="0" wrapText="1"/>
    </xf>
    <xf borderId="0" fillId="0" fontId="8" numFmtId="164" xfId="0" applyAlignment="1" applyFont="1" applyNumberFormat="1">
      <alignment horizontal="left" readingOrder="0" shrinkToFit="0" vertical="center" wrapText="1"/>
    </xf>
    <xf borderId="0" fillId="0" fontId="10" numFmtId="0" xfId="0" applyFont="1"/>
    <xf borderId="0" fillId="0" fontId="10" numFmtId="164" xfId="0" applyFont="1" applyNumberFormat="1"/>
    <xf borderId="0" fillId="0" fontId="10" numFmtId="49" xfId="0" applyFont="1" applyNumberFormat="1"/>
    <xf borderId="0" fillId="0" fontId="10" numFmtId="165" xfId="0" applyAlignment="1" applyFont="1" applyNumberFormat="1">
      <alignment horizontal="center"/>
    </xf>
    <xf borderId="0" fillId="0" fontId="10" numFmtId="164" xfId="0" applyAlignment="1" applyFont="1" applyNumberFormat="1">
      <alignment vertical="bottom"/>
    </xf>
    <xf borderId="0" fillId="0" fontId="11" numFmtId="0" xfId="0" applyAlignment="1" applyFont="1">
      <alignment shrinkToFit="0" wrapText="1"/>
    </xf>
    <xf borderId="0" fillId="0" fontId="12" numFmtId="0" xfId="0" applyAlignment="1" applyFont="1">
      <alignment shrinkToFit="0" wrapText="1"/>
    </xf>
    <xf borderId="0" fillId="0" fontId="12" numFmtId="0" xfId="0" applyAlignment="1" applyFont="1">
      <alignment readingOrder="0" shrinkToFit="0" wrapText="1"/>
    </xf>
    <xf borderId="0" fillId="0" fontId="12" numFmtId="165" xfId="0" applyAlignment="1" applyFont="1" applyNumberFormat="1">
      <alignment horizontal="center" shrinkToFit="0" wrapText="1"/>
    </xf>
    <xf borderId="0" fillId="0" fontId="8" numFmtId="0" xfId="0" applyAlignment="1" applyFont="1">
      <alignment horizontal="left" readingOrder="0" shrinkToFit="0" vertical="center" wrapText="1"/>
    </xf>
    <xf borderId="0" fillId="0" fontId="8" numFmtId="164" xfId="0" applyAlignment="1" applyFont="1" applyNumberFormat="1">
      <alignment horizontal="left" readingOrder="0" shrinkToFit="0" vertical="center" wrapText="1"/>
    </xf>
    <xf borderId="0" fillId="0" fontId="8" numFmtId="49" xfId="0" applyAlignment="1" applyFont="1" applyNumberFormat="1">
      <alignment horizontal="left" readingOrder="0" shrinkToFit="0" vertical="center" wrapText="1"/>
    </xf>
    <xf borderId="0" fillId="0" fontId="8" numFmtId="3" xfId="0" applyAlignment="1" applyFont="1" applyNumberFormat="1">
      <alignment horizontal="center" readingOrder="0" shrinkToFit="0" vertical="center" wrapText="1"/>
    </xf>
    <xf borderId="0" fillId="0" fontId="8" numFmtId="164" xfId="0" applyAlignment="1" applyFont="1" applyNumberFormat="1">
      <alignment horizontal="center" readingOrder="0" shrinkToFit="0" vertical="center" wrapText="1"/>
    </xf>
    <xf borderId="0" fillId="0" fontId="13" numFmtId="0" xfId="0" applyAlignment="1" applyFont="1">
      <alignment readingOrder="0" shrinkToFit="0" vertical="center" wrapText="1"/>
    </xf>
    <xf borderId="0" fillId="0" fontId="13" numFmtId="0" xfId="0" applyAlignment="1" applyFont="1">
      <alignment horizontal="left" readingOrder="0" shrinkToFit="0" vertical="center" wrapText="1"/>
    </xf>
    <xf borderId="0" fillId="0" fontId="13" numFmtId="0" xfId="0" applyAlignment="1" applyFont="1">
      <alignment readingOrder="0" shrinkToFit="0" vertical="center" wrapText="1"/>
    </xf>
    <xf borderId="0" fillId="0" fontId="13" numFmtId="165" xfId="0" applyAlignment="1" applyFont="1" applyNumberFormat="1">
      <alignment horizontal="center" readingOrder="0" shrinkToFit="0" vertical="center" wrapText="1"/>
    </xf>
    <xf borderId="0" fillId="0" fontId="13" numFmtId="164" xfId="0" applyAlignment="1" applyFont="1" applyNumberFormat="1">
      <alignment horizontal="center" readingOrder="0" shrinkToFit="0" vertical="center" wrapText="1"/>
    </xf>
    <xf borderId="0" fillId="0" fontId="13" numFmtId="164" xfId="0" applyAlignment="1" applyFont="1" applyNumberFormat="1">
      <alignment readingOrder="0" shrinkToFit="0" vertical="center" wrapText="1"/>
    </xf>
    <xf borderId="0" fillId="0" fontId="13" numFmtId="164" xfId="0" applyAlignment="1" applyFont="1" applyNumberFormat="1">
      <alignment readingOrder="0" shrinkToFit="0" vertical="center" wrapText="1"/>
    </xf>
    <xf borderId="0" fillId="0" fontId="13" numFmtId="0" xfId="0" applyAlignment="1" applyFont="1">
      <alignment readingOrder="0" shrinkToFit="0" vertical="center" wrapText="1"/>
    </xf>
    <xf borderId="0" fillId="0" fontId="13" numFmtId="0" xfId="0" applyAlignment="1" applyFont="1">
      <alignment horizontal="left" shrinkToFit="0" vertical="center" wrapText="1"/>
    </xf>
    <xf borderId="0" fillId="0" fontId="13" numFmtId="0" xfId="0" applyAlignment="1" applyFont="1">
      <alignment readingOrder="0" shrinkToFit="0" vertical="center" wrapText="1"/>
    </xf>
    <xf borderId="0" fillId="0" fontId="14" numFmtId="165" xfId="0" applyAlignment="1" applyFont="1" applyNumberFormat="1">
      <alignment horizontal="center" readingOrder="0" shrinkToFit="0" vertical="center" wrapText="1"/>
    </xf>
    <xf borderId="0" fillId="0" fontId="14" numFmtId="164" xfId="0" applyAlignment="1" applyFont="1" applyNumberFormat="1">
      <alignment horizontal="center" shrinkToFit="0" vertical="center" wrapText="1"/>
    </xf>
    <xf borderId="0" fillId="0" fontId="8" numFmtId="0" xfId="0" applyAlignment="1" applyFont="1">
      <alignment horizontal="left" readingOrder="0" shrinkToFit="0" vertical="center" wrapText="1"/>
    </xf>
    <xf borderId="0" fillId="0" fontId="8" numFmtId="164" xfId="0" applyAlignment="1" applyFont="1" applyNumberFormat="1">
      <alignment readingOrder="0" shrinkToFit="0" vertical="center" wrapText="1"/>
    </xf>
    <xf borderId="0" fillId="0" fontId="8" numFmtId="0" xfId="0" applyAlignment="1" applyFont="1">
      <alignment readingOrder="0" shrinkToFit="0" vertical="center" wrapText="1"/>
    </xf>
    <xf borderId="0" fillId="0" fontId="8" numFmtId="3" xfId="0" applyAlignment="1" applyFont="1" applyNumberFormat="1">
      <alignment horizontal="center" readingOrder="0" shrinkToFit="0" vertical="center" wrapText="1"/>
    </xf>
    <xf borderId="0" fillId="0" fontId="8" numFmtId="164" xfId="0" applyAlignment="1" applyFont="1" applyNumberFormat="1">
      <alignment horizontal="center" readingOrder="0" shrinkToFit="0" vertical="center" wrapText="1"/>
    </xf>
    <xf borderId="0" fillId="0" fontId="13" numFmtId="0" xfId="0" applyAlignment="1" applyFont="1">
      <alignment horizontal="left" readingOrder="0" shrinkToFit="0" vertical="center" wrapText="1"/>
    </xf>
    <xf borderId="0" fillId="0" fontId="13" numFmtId="164" xfId="0" applyAlignment="1" applyFont="1" applyNumberFormat="1">
      <alignment horizontal="left" readingOrder="0" shrinkToFit="0" vertical="center" wrapText="1"/>
    </xf>
    <xf borderId="0" fillId="0" fontId="13" numFmtId="165" xfId="0" applyAlignment="1" applyFont="1" applyNumberFormat="1">
      <alignment horizontal="center" readingOrder="0" shrinkToFit="0" vertical="center" wrapText="1"/>
    </xf>
    <xf borderId="0" fillId="0" fontId="13" numFmtId="164" xfId="0" applyAlignment="1" applyFont="1" applyNumberFormat="1">
      <alignment horizontal="center" readingOrder="0" shrinkToFit="0" vertical="center" wrapText="1"/>
    </xf>
    <xf borderId="0" fillId="0" fontId="15" numFmtId="0" xfId="0" applyAlignment="1" applyFont="1">
      <alignment horizontal="left" readingOrder="0" shrinkToFit="0" vertical="center" wrapText="1"/>
    </xf>
    <xf borderId="0" fillId="0" fontId="15" numFmtId="164" xfId="0" applyAlignment="1" applyFont="1" applyNumberFormat="1">
      <alignment horizontal="left" readingOrder="0" shrinkToFit="0" vertical="center" wrapText="1"/>
    </xf>
    <xf borderId="0" fillId="0" fontId="15" numFmtId="0" xfId="0" applyAlignment="1" applyFont="1">
      <alignment horizontal="center" readingOrder="0" shrinkToFit="0" vertical="center" wrapText="1"/>
    </xf>
    <xf borderId="0" fillId="0" fontId="15" numFmtId="165" xfId="0" applyAlignment="1" applyFont="1" applyNumberFormat="1">
      <alignment horizontal="center" readingOrder="0" shrinkToFit="0" vertical="center" wrapText="1"/>
    </xf>
    <xf borderId="0" fillId="0" fontId="15" numFmtId="164" xfId="0" applyAlignment="1" applyFont="1" applyNumberFormat="1">
      <alignment horizontal="center" readingOrder="0" shrinkToFit="0" vertical="center" wrapText="1"/>
    </xf>
    <xf borderId="0" fillId="0" fontId="6"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8" numFmtId="165" xfId="0" applyAlignment="1" applyFont="1" applyNumberFormat="1">
      <alignment horizontal="center" readingOrder="0" shrinkToFit="0" vertical="center" wrapText="1"/>
    </xf>
    <xf borderId="0" fillId="0" fontId="8" numFmtId="164" xfId="0" applyAlignment="1" applyFont="1" applyNumberFormat="1">
      <alignment horizontal="center" readingOrder="0" shrinkToFit="0" vertical="center" wrapText="1"/>
    </xf>
    <xf borderId="0" fillId="0" fontId="8" numFmtId="0" xfId="0" applyAlignment="1" applyFont="1">
      <alignment horizontal="center" readingOrder="0" shrinkToFit="0" vertical="center" wrapText="1"/>
    </xf>
    <xf borderId="0" fillId="0" fontId="6" numFmtId="0" xfId="0" applyAlignment="1" applyFont="1">
      <alignment horizontal="left"/>
    </xf>
    <xf borderId="0" fillId="0" fontId="6" numFmtId="0" xfId="0" applyFont="1"/>
    <xf borderId="0" fillId="6" fontId="14" numFmtId="165" xfId="0" applyAlignment="1" applyFill="1" applyFont="1" applyNumberFormat="1">
      <alignment horizontal="center" readingOrder="0" shrinkToFit="0" vertical="center" wrapText="1"/>
    </xf>
    <xf borderId="0" fillId="6" fontId="14" numFmtId="164" xfId="0" applyAlignment="1" applyFont="1" applyNumberFormat="1">
      <alignment horizontal="center"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0" fillId="0" fontId="6" numFmtId="49" xfId="0" applyAlignment="1" applyFont="1" applyNumberFormat="1">
      <alignment horizontal="center"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13" numFmtId="0" xfId="0" applyAlignment="1" applyFont="1">
      <alignment horizontal="center" shrinkToFit="0" vertical="center" wrapText="1"/>
    </xf>
    <xf borderId="0" fillId="0" fontId="13" numFmtId="164" xfId="0" applyAlignment="1" applyFont="1" applyNumberFormat="1">
      <alignment horizontal="center" shrinkToFit="0" vertical="center" wrapText="1"/>
    </xf>
    <xf borderId="0" fillId="0" fontId="13" numFmtId="0" xfId="0" applyAlignment="1" applyFont="1">
      <alignment shrinkToFit="0" vertical="center" wrapText="1"/>
    </xf>
    <xf borderId="0" fillId="0" fontId="13" numFmtId="0" xfId="0" applyAlignment="1" applyFont="1">
      <alignment horizontal="left" shrinkToFit="0" vertical="center" wrapText="1"/>
    </xf>
    <xf borderId="0" fillId="0" fontId="13" numFmtId="0" xfId="0" applyAlignment="1" applyFont="1">
      <alignment horizontal="center" shrinkToFit="0" vertical="center" wrapText="1"/>
    </xf>
    <xf borderId="0" fillId="7" fontId="3" numFmtId="0" xfId="0" applyAlignment="1" applyFill="1" applyFont="1">
      <alignment readingOrder="0" shrinkToFit="0" vertical="center" wrapText="1"/>
    </xf>
    <xf borderId="0" fillId="7" fontId="3" numFmtId="0" xfId="0" applyAlignment="1" applyFont="1">
      <alignment horizontal="left" readingOrder="0" shrinkToFit="0" vertical="center" wrapText="1"/>
    </xf>
    <xf borderId="0" fillId="7" fontId="3" numFmtId="0" xfId="0" applyAlignment="1" applyFont="1">
      <alignment horizontal="center" readingOrder="0" shrinkToFit="0" vertical="center" wrapText="1"/>
    </xf>
    <xf borderId="0" fillId="7" fontId="13" numFmtId="0" xfId="0" applyAlignment="1" applyFont="1">
      <alignment horizontal="center" readingOrder="0" shrinkToFit="0" vertical="center" wrapText="1"/>
    </xf>
    <xf borderId="0" fillId="7" fontId="13" numFmtId="0" xfId="0" applyAlignment="1" applyFont="1">
      <alignment horizontal="center" shrinkToFit="0" vertical="center" wrapText="1"/>
    </xf>
  </cellXfs>
  <cellStyles count="1">
    <cellStyle xfId="0" name="Normal" builtinId="0"/>
  </cellStyles>
  <dxfs count="8">
    <dxf>
      <font/>
      <fill>
        <patternFill patternType="none"/>
      </fill>
      <border/>
    </dxf>
    <dxf>
      <font/>
      <fill>
        <patternFill patternType="solid">
          <fgColor rgb="FF00E2FF"/>
          <bgColor rgb="FF00E2FF"/>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BFF7FF"/>
          <bgColor rgb="FFBFF7FF"/>
        </patternFill>
      </fill>
      <border/>
    </dxf>
    <dxf>
      <border>
        <left style="thin">
          <color rgb="FF00E2FF"/>
        </left>
        <right style="thin">
          <color rgb="FF00E2FF"/>
        </right>
        <top style="thin">
          <color rgb="FF00E2FF"/>
        </top>
        <bottom style="thin">
          <color rgb="FF00E2FF"/>
        </bottom>
      </border>
    </dxf>
    <dxf>
      <font/>
      <fill>
        <patternFill patternType="solid">
          <fgColor rgb="FFF1F1F5"/>
          <bgColor rgb="FFF1F1F5"/>
        </patternFill>
      </fill>
      <border/>
    </dxf>
    <dxf>
      <font/>
      <fill>
        <patternFill patternType="solid">
          <fgColor rgb="FFF6F8F9"/>
          <bgColor rgb="FFF6F8F9"/>
        </patternFill>
      </fill>
      <border/>
    </dxf>
  </dxfs>
  <tableStyles count="5">
    <tableStyle count="5" pivot="0" name="Tier 1-style">
      <tableStyleElement dxfId="1" type="headerRow"/>
      <tableStyleElement dxfId="2" type="firstRowStripe"/>
      <tableStyleElement dxfId="3" type="secondRowStripe"/>
      <tableStyleElement dxfId="4" type="totalRow"/>
      <tableStyleElement dxfId="5" size="0" type="wholeTable"/>
    </tableStyle>
    <tableStyle count="5" pivot="0" name="Tier 2-style">
      <tableStyleElement dxfId="1" type="headerRow"/>
      <tableStyleElement dxfId="2" type="firstRowStripe"/>
      <tableStyleElement dxfId="3" type="secondRowStripe"/>
      <tableStyleElement dxfId="4" type="totalRow"/>
      <tableStyleElement dxfId="5" size="0" type="wholeTable"/>
    </tableStyle>
    <tableStyle count="5" pivot="0" name="Tier 3-style">
      <tableStyleElement dxfId="1" type="headerRow"/>
      <tableStyleElement dxfId="2" type="firstRowStripe"/>
      <tableStyleElement dxfId="3" type="secondRowStripe"/>
      <tableStyleElement dxfId="4" type="totalRow"/>
      <tableStyleElement dxfId="5" size="0" type="wholeTable"/>
    </tableStyle>
    <tableStyle count="4" pivot="0" name="Add-Ons-style">
      <tableStyleElement dxfId="6" type="headerRow"/>
      <tableStyleElement dxfId="2" type="firstRowStripe"/>
      <tableStyleElement dxfId="7" type="secondRowStripe"/>
      <tableStyleElement dxfId="5" size="0" type="wholeTable"/>
    </tableStyle>
    <tableStyle count="4" pivot="0" name="Add-Ons-style 2">
      <tableStyleElement dxfId="6" type="headerRow"/>
      <tableStyleElement dxfId="2" type="firstRowStripe"/>
      <tableStyleElement dxfId="7"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3:I29" displayName="Tier_1" name="Tier_1" id="1">
  <tableColumns count="9">
    <tableColumn totalsRowLabel="Total" name="Phase" id="1"/>
    <tableColumn name="Activity" id="2"/>
    <tableColumn name="Task" id="3"/>
    <tableColumn name="Description" id="4"/>
    <tableColumn name="Team" id="5"/>
    <tableColumn name="Hours" id="6"/>
    <tableColumn name="Rate" id="7"/>
    <tableColumn totalsRowFunction="custom" name="Total" id="8"/>
    <tableColumn name="Notes" id="9"/>
  </tableColumns>
  <tableStyleInfo name="Tier 1-style" showColumnStripes="0" showFirstColumn="1" showLastColumn="1" showRowStripes="1"/>
</table>
</file>

<file path=xl/tables/table2.xml><?xml version="1.0" encoding="utf-8"?>
<table xmlns="http://schemas.openxmlformats.org/spreadsheetml/2006/main" totalsRowCount="1" ref="A13:I29" displayName="Tier_2" name="Tier_2" id="2">
  <tableColumns count="9">
    <tableColumn totalsRowLabel="Total" name="Phase" id="1"/>
    <tableColumn name="Activity" id="2"/>
    <tableColumn name="Task" id="3"/>
    <tableColumn name="Description" id="4"/>
    <tableColumn name="Team" id="5"/>
    <tableColumn name="Hours" id="6"/>
    <tableColumn name="Rate" id="7"/>
    <tableColumn totalsRowFunction="custom" name="Total" id="8"/>
    <tableColumn name="Notes" id="9"/>
  </tableColumns>
  <tableStyleInfo name="Tier 2-style" showColumnStripes="0" showFirstColumn="1" showLastColumn="1" showRowStripes="1"/>
</table>
</file>

<file path=xl/tables/table3.xml><?xml version="1.0" encoding="utf-8"?>
<table xmlns="http://schemas.openxmlformats.org/spreadsheetml/2006/main" totalsRowCount="1" ref="A13:I29" displayName="Premium" name="Premium" id="3">
  <tableColumns count="9">
    <tableColumn totalsRowLabel="Total" name="Phase" id="1"/>
    <tableColumn name="Activity" id="2"/>
    <tableColumn name="Task" id="3"/>
    <tableColumn name="Description" id="4"/>
    <tableColumn name="Team" id="5"/>
    <tableColumn name="Hours" id="6"/>
    <tableColumn name="Rate" id="7"/>
    <tableColumn totalsRowFunction="custom" name="Total" id="8"/>
    <tableColumn name="Notes" id="9"/>
  </tableColumns>
  <tableStyleInfo name="Tier 3-style" showColumnStripes="0" showFirstColumn="1" showLastColumn="1" showRowStripes="1"/>
</table>
</file>

<file path=xl/tables/table4.xml><?xml version="1.0" encoding="utf-8"?>
<table xmlns="http://schemas.openxmlformats.org/spreadsheetml/2006/main" ref="A1:E7" displayName="Add_Ons" name="Add_Ons" id="4">
  <tableColumns count="5">
    <tableColumn name="Item" id="1"/>
    <tableColumn name="Description" id="2"/>
    <tableColumn name="Hours" id="3"/>
    <tableColumn name="Rate" id="4"/>
    <tableColumn name="Total" id="5"/>
  </tableColumns>
  <tableStyleInfo name="Add-Ons-style" showColumnStripes="0" showFirstColumn="1" showLastColumn="1" showRowStripes="1"/>
</table>
</file>

<file path=xl/tables/table5.xml><?xml version="1.0" encoding="utf-8"?>
<table xmlns="http://schemas.openxmlformats.org/spreadsheetml/2006/main" ref="A12:E15" displayName="Post_Branding" name="Post_Branding" id="5">
  <tableColumns count="5">
    <tableColumn name="Item" id="1"/>
    <tableColumn name="Description" id="2"/>
    <tableColumn name="Hours" id="3"/>
    <tableColumn name="Rate" id="4"/>
    <tableColumn name="Total" id="5"/>
  </tableColumns>
  <tableStyleInfo name="Add-On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TGT8MjTW3dFr-RxR4Ks5UeK2zI2fVUu" TargetMode="External"/><Relationship Id="rId2" Type="http://schemas.openxmlformats.org/officeDocument/2006/relationships/hyperlink" Target="https://drive.google.com/open?id=1C2Nm2Ol5uLmf8-JtYk8GE6LY2_JUS75q" TargetMode="External"/><Relationship Id="rId3" Type="http://schemas.openxmlformats.org/officeDocument/2006/relationships/hyperlink" Target="https://drive.google.com/open?id=1sQO5pCYLqYJnh_t_3kvUDsk2XwhhVqzV"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4.xml"/><Relationship Id="rId5"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8.0"/>
    <col customWidth="1" min="2" max="2" width="12.13"/>
    <col customWidth="1" min="3" max="3" width="4.38"/>
    <col customWidth="1" min="4" max="4" width="42.63"/>
    <col customWidth="1" min="5" max="5" width="10.38"/>
    <col customWidth="1" min="6" max="6" width="4.38"/>
    <col customWidth="1" min="7" max="7" width="43.88"/>
    <col customWidth="1" min="8" max="8" width="10.38"/>
  </cols>
  <sheetData>
    <row r="1">
      <c r="A1" s="1" t="s">
        <v>0</v>
      </c>
      <c r="C1" s="2"/>
      <c r="D1" s="3" t="s">
        <v>1</v>
      </c>
      <c r="F1" s="2"/>
      <c r="G1" s="4" t="s">
        <v>2</v>
      </c>
    </row>
    <row r="2">
      <c r="A2" s="5" t="s">
        <v>3</v>
      </c>
      <c r="C2" s="6"/>
      <c r="D2" s="7" t="s">
        <v>4</v>
      </c>
      <c r="F2" s="6"/>
      <c r="G2" s="8" t="s">
        <v>5</v>
      </c>
    </row>
    <row r="3">
      <c r="A3" s="9"/>
      <c r="B3" s="10"/>
      <c r="C3" s="11"/>
      <c r="D3" s="9"/>
      <c r="E3" s="11"/>
      <c r="F3" s="11"/>
      <c r="G3" s="9"/>
      <c r="H3" s="11"/>
    </row>
    <row r="4">
      <c r="A4" s="12" t="s">
        <v>6</v>
      </c>
      <c r="B4" s="13">
        <v>650.0</v>
      </c>
      <c r="C4" s="11"/>
      <c r="D4" s="12" t="s">
        <v>6</v>
      </c>
      <c r="E4" s="13">
        <v>650.0</v>
      </c>
      <c r="F4" s="11"/>
      <c r="G4" s="12" t="s">
        <v>6</v>
      </c>
      <c r="H4" s="13">
        <v>1000.0</v>
      </c>
    </row>
    <row r="5">
      <c r="A5" s="14" t="s">
        <v>7</v>
      </c>
      <c r="B5" s="10"/>
      <c r="C5" s="6"/>
      <c r="D5" s="14" t="s">
        <v>7</v>
      </c>
      <c r="E5" s="6"/>
      <c r="F5" s="6"/>
      <c r="G5" s="14" t="s">
        <v>7</v>
      </c>
      <c r="H5" s="6"/>
    </row>
    <row r="6">
      <c r="A6" s="14" t="s">
        <v>8</v>
      </c>
      <c r="B6" s="10"/>
      <c r="C6" s="6"/>
      <c r="D6" s="14" t="s">
        <v>8</v>
      </c>
      <c r="E6" s="6"/>
      <c r="F6" s="6"/>
      <c r="G6" s="14" t="s">
        <v>9</v>
      </c>
      <c r="H6" s="6"/>
    </row>
    <row r="7">
      <c r="A7" s="14" t="s">
        <v>10</v>
      </c>
      <c r="B7" s="10"/>
      <c r="C7" s="6"/>
      <c r="D7" s="14" t="s">
        <v>10</v>
      </c>
      <c r="E7" s="6"/>
      <c r="F7" s="6"/>
      <c r="G7" s="14" t="s">
        <v>10</v>
      </c>
      <c r="H7" s="6"/>
    </row>
    <row r="8">
      <c r="A8" s="14" t="s">
        <v>11</v>
      </c>
      <c r="B8" s="10"/>
      <c r="C8" s="6"/>
      <c r="D8" s="14" t="s">
        <v>11</v>
      </c>
      <c r="E8" s="6"/>
      <c r="F8" s="6"/>
      <c r="G8" s="14" t="s">
        <v>12</v>
      </c>
      <c r="H8" s="6"/>
    </row>
    <row r="9">
      <c r="A9" s="14"/>
      <c r="B9" s="10"/>
      <c r="C9" s="6"/>
      <c r="D9" s="14"/>
      <c r="E9" s="6"/>
      <c r="F9" s="6"/>
      <c r="G9" s="14"/>
      <c r="H9" s="6"/>
    </row>
    <row r="10">
      <c r="A10" s="12" t="s">
        <v>13</v>
      </c>
      <c r="B10" s="13">
        <v>4100.0</v>
      </c>
      <c r="C10" s="11"/>
      <c r="D10" s="12" t="s">
        <v>13</v>
      </c>
      <c r="E10" s="13">
        <v>7500.0</v>
      </c>
      <c r="F10" s="11"/>
      <c r="G10" s="12" t="s">
        <v>13</v>
      </c>
      <c r="H10" s="13">
        <v>10600.0</v>
      </c>
    </row>
    <row r="11">
      <c r="A11" s="15" t="s">
        <v>14</v>
      </c>
      <c r="B11" s="10"/>
      <c r="C11" s="6"/>
      <c r="D11" s="15" t="s">
        <v>14</v>
      </c>
      <c r="E11" s="6"/>
      <c r="F11" s="6"/>
      <c r="G11" s="15" t="s">
        <v>14</v>
      </c>
      <c r="H11" s="6"/>
    </row>
    <row r="12">
      <c r="A12" s="14" t="s">
        <v>15</v>
      </c>
      <c r="B12" s="10"/>
      <c r="C12" s="6"/>
      <c r="D12" s="14" t="s">
        <v>16</v>
      </c>
      <c r="E12" s="6"/>
      <c r="F12" s="6"/>
      <c r="G12" s="14" t="s">
        <v>17</v>
      </c>
      <c r="H12" s="6"/>
    </row>
    <row r="13">
      <c r="A13" s="14" t="s">
        <v>18</v>
      </c>
      <c r="B13" s="10"/>
      <c r="C13" s="6"/>
      <c r="D13" s="14" t="s">
        <v>18</v>
      </c>
      <c r="E13" s="6"/>
      <c r="F13" s="6"/>
      <c r="G13" s="14" t="s">
        <v>19</v>
      </c>
      <c r="H13" s="6"/>
    </row>
    <row r="14">
      <c r="A14" s="14"/>
      <c r="B14" s="10"/>
      <c r="C14" s="6"/>
      <c r="D14" s="14"/>
      <c r="E14" s="6"/>
      <c r="F14" s="6"/>
      <c r="G14" s="14"/>
      <c r="H14" s="6"/>
    </row>
    <row r="15">
      <c r="A15" s="15" t="s">
        <v>13</v>
      </c>
      <c r="B15" s="10"/>
      <c r="C15" s="6"/>
      <c r="D15" s="15" t="s">
        <v>13</v>
      </c>
      <c r="E15" s="6"/>
      <c r="F15" s="6"/>
      <c r="G15" s="15" t="s">
        <v>13</v>
      </c>
      <c r="H15" s="6"/>
    </row>
    <row r="16">
      <c r="A16" s="14" t="s">
        <v>20</v>
      </c>
      <c r="B16" s="10"/>
      <c r="C16" s="6"/>
      <c r="D16" s="14" t="s">
        <v>21</v>
      </c>
      <c r="E16" s="6"/>
      <c r="F16" s="6"/>
      <c r="G16" s="14" t="s">
        <v>22</v>
      </c>
      <c r="H16" s="6"/>
    </row>
    <row r="17">
      <c r="A17" s="14" t="s">
        <v>23</v>
      </c>
      <c r="B17" s="10"/>
      <c r="C17" s="6"/>
      <c r="D17" s="14" t="s">
        <v>24</v>
      </c>
      <c r="E17" s="6"/>
      <c r="F17" s="6"/>
      <c r="G17" s="14" t="s">
        <v>24</v>
      </c>
      <c r="H17" s="6"/>
    </row>
    <row r="18">
      <c r="A18" s="14"/>
      <c r="B18" s="10"/>
      <c r="C18" s="6"/>
      <c r="D18" s="14"/>
      <c r="E18" s="6"/>
      <c r="F18" s="6"/>
      <c r="G18" s="14"/>
      <c r="H18" s="6"/>
    </row>
    <row r="19">
      <c r="A19" s="15" t="s">
        <v>25</v>
      </c>
      <c r="B19" s="10"/>
      <c r="C19" s="6"/>
      <c r="D19" s="15" t="s">
        <v>25</v>
      </c>
      <c r="E19" s="6"/>
      <c r="F19" s="6"/>
      <c r="G19" s="15" t="s">
        <v>25</v>
      </c>
      <c r="H19" s="6"/>
    </row>
    <row r="20">
      <c r="A20" s="14" t="s">
        <v>26</v>
      </c>
      <c r="B20" s="10"/>
      <c r="C20" s="6"/>
      <c r="D20" s="14" t="s">
        <v>27</v>
      </c>
      <c r="E20" s="6"/>
      <c r="F20" s="6"/>
      <c r="G20" s="14" t="s">
        <v>27</v>
      </c>
      <c r="H20" s="6"/>
    </row>
    <row r="21">
      <c r="A21" s="14"/>
      <c r="B21" s="10"/>
      <c r="C21" s="6"/>
      <c r="D21" s="14"/>
      <c r="E21" s="6"/>
      <c r="F21" s="6"/>
      <c r="G21" s="14"/>
      <c r="H21" s="6"/>
    </row>
    <row r="22">
      <c r="A22" s="12" t="s">
        <v>28</v>
      </c>
      <c r="B22" s="13">
        <v>600.0</v>
      </c>
      <c r="C22" s="6"/>
      <c r="D22" s="12" t="s">
        <v>28</v>
      </c>
      <c r="E22" s="13">
        <v>600.0</v>
      </c>
      <c r="F22" s="6"/>
      <c r="G22" s="12" t="s">
        <v>28</v>
      </c>
      <c r="H22" s="13">
        <v>900.0</v>
      </c>
    </row>
    <row r="23">
      <c r="A23" s="15" t="s">
        <v>29</v>
      </c>
      <c r="B23" s="10"/>
      <c r="C23" s="6"/>
      <c r="D23" s="15" t="s">
        <v>29</v>
      </c>
      <c r="E23" s="6"/>
      <c r="F23" s="6"/>
      <c r="G23" s="15" t="s">
        <v>30</v>
      </c>
      <c r="H23" s="6"/>
    </row>
    <row r="24">
      <c r="A24" s="14" t="s">
        <v>31</v>
      </c>
      <c r="B24" s="10"/>
      <c r="C24" s="6"/>
      <c r="D24" s="14" t="s">
        <v>31</v>
      </c>
      <c r="E24" s="6"/>
      <c r="F24" s="6"/>
      <c r="G24" s="14" t="s">
        <v>31</v>
      </c>
      <c r="H24" s="6"/>
    </row>
    <row r="25">
      <c r="A25" s="15"/>
      <c r="B25" s="10"/>
      <c r="C25" s="6"/>
      <c r="D25" s="15"/>
      <c r="E25" s="6"/>
      <c r="F25" s="6"/>
      <c r="G25" s="15"/>
      <c r="H25" s="6"/>
    </row>
    <row r="26">
      <c r="A26" s="15" t="s">
        <v>32</v>
      </c>
      <c r="B26" s="10"/>
      <c r="C26" s="6"/>
      <c r="D26" s="15" t="s">
        <v>32</v>
      </c>
      <c r="E26" s="6"/>
      <c r="F26" s="6"/>
      <c r="G26" s="15" t="s">
        <v>32</v>
      </c>
      <c r="H26" s="6"/>
    </row>
    <row r="27">
      <c r="A27" s="15"/>
      <c r="B27" s="10"/>
      <c r="C27" s="6"/>
      <c r="D27" s="15"/>
      <c r="E27" s="6"/>
      <c r="F27" s="6"/>
      <c r="G27" s="15"/>
      <c r="H27" s="6"/>
    </row>
    <row r="28">
      <c r="A28" s="15" t="s">
        <v>33</v>
      </c>
      <c r="B28" s="10"/>
      <c r="C28" s="6"/>
      <c r="D28" s="15" t="s">
        <v>33</v>
      </c>
      <c r="E28" s="6"/>
      <c r="F28" s="6"/>
      <c r="G28" s="15" t="s">
        <v>33</v>
      </c>
      <c r="H28" s="6"/>
    </row>
    <row r="29">
      <c r="A29" s="14"/>
      <c r="B29" s="10"/>
      <c r="C29" s="6"/>
      <c r="D29" s="14"/>
      <c r="E29" s="6"/>
      <c r="F29" s="6"/>
      <c r="G29" s="14"/>
      <c r="H29" s="6"/>
    </row>
    <row r="30">
      <c r="A30" s="12" t="s">
        <v>34</v>
      </c>
      <c r="B30" s="13">
        <v>700.0</v>
      </c>
      <c r="C30" s="6"/>
      <c r="D30" s="12" t="s">
        <v>34</v>
      </c>
      <c r="E30" s="13">
        <v>1400.0</v>
      </c>
      <c r="F30" s="6"/>
      <c r="G30" s="12" t="s">
        <v>34</v>
      </c>
      <c r="H30" s="13">
        <v>1900.0</v>
      </c>
    </row>
    <row r="31">
      <c r="A31" s="14" t="s">
        <v>35</v>
      </c>
      <c r="B31" s="10"/>
      <c r="C31" s="6"/>
      <c r="D31" s="14" t="s">
        <v>35</v>
      </c>
      <c r="E31" s="6"/>
      <c r="F31" s="6"/>
      <c r="G31" s="14" t="s">
        <v>35</v>
      </c>
      <c r="H31" s="6"/>
    </row>
    <row r="32">
      <c r="A32" s="14" t="s">
        <v>36</v>
      </c>
      <c r="B32" s="10"/>
      <c r="C32" s="6"/>
      <c r="D32" s="14" t="s">
        <v>36</v>
      </c>
      <c r="E32" s="6"/>
      <c r="F32" s="6"/>
      <c r="G32" s="14" t="s">
        <v>36</v>
      </c>
      <c r="H32" s="6"/>
    </row>
    <row r="33" ht="16.5" customHeight="1">
      <c r="A33" s="14"/>
      <c r="B33" s="16"/>
      <c r="C33" s="11"/>
      <c r="D33" s="14"/>
      <c r="E33" s="11"/>
      <c r="F33" s="11"/>
      <c r="G33" s="14"/>
      <c r="H33" s="11"/>
    </row>
    <row r="34">
      <c r="A34" s="17" t="s">
        <v>37</v>
      </c>
      <c r="B34" s="18">
        <f>sum(B4:B32)</f>
        <v>6050</v>
      </c>
      <c r="C34" s="11"/>
      <c r="D34" s="19" t="s">
        <v>37</v>
      </c>
      <c r="E34" s="20">
        <f>sum(E4:E32)</f>
        <v>10150</v>
      </c>
      <c r="F34" s="11"/>
      <c r="G34" s="21" t="s">
        <v>37</v>
      </c>
      <c r="H34" s="22">
        <f>sum(H4:H32)</f>
        <v>14400</v>
      </c>
    </row>
    <row r="35">
      <c r="A35" s="14" t="s">
        <v>38</v>
      </c>
      <c r="B35" s="10"/>
      <c r="C35" s="11"/>
      <c r="D35" s="14" t="s">
        <v>38</v>
      </c>
      <c r="E35" s="11"/>
      <c r="F35" s="11"/>
      <c r="G35" s="14" t="s">
        <v>38</v>
      </c>
      <c r="H35" s="11"/>
    </row>
    <row r="36">
      <c r="A36" s="14"/>
      <c r="B36" s="10"/>
      <c r="C36" s="11"/>
      <c r="D36" s="14"/>
      <c r="E36" s="11"/>
      <c r="F36" s="11"/>
      <c r="G36" s="14"/>
      <c r="H36" s="11"/>
    </row>
    <row r="37">
      <c r="A37" s="23" t="s">
        <v>39</v>
      </c>
      <c r="B37" s="10"/>
      <c r="C37" s="6"/>
      <c r="D37" s="23" t="s">
        <v>40</v>
      </c>
      <c r="E37" s="6"/>
      <c r="F37" s="6"/>
      <c r="G37" s="23" t="s">
        <v>41</v>
      </c>
      <c r="H37" s="6"/>
    </row>
    <row r="38">
      <c r="A38" s="15"/>
      <c r="B38" s="10"/>
      <c r="C38" s="6"/>
      <c r="D38" s="14"/>
      <c r="E38" s="6"/>
      <c r="F38" s="6"/>
      <c r="G38" s="24"/>
      <c r="H38" s="6"/>
    </row>
  </sheetData>
  <mergeCells count="6">
    <mergeCell ref="A1:B1"/>
    <mergeCell ref="D1:E1"/>
    <mergeCell ref="G1:H1"/>
    <mergeCell ref="A2:B2"/>
    <mergeCell ref="D2:E2"/>
    <mergeCell ref="G2:H2"/>
  </mergeCells>
  <hyperlinks>
    <hyperlink r:id="rId1" ref="A37"/>
    <hyperlink r:id="rId2" ref="D37"/>
    <hyperlink r:id="rId3" ref="G37"/>
  </hyperlinks>
  <printOptions gridLines="1" horizontalCentered="1"/>
  <pageMargins bottom="0.75" footer="0.0" header="0.0" left="0.7" right="0.7" top="0.75"/>
  <pageSetup fitToHeight="0" cellComments="atEnd" orientation="landscape"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0"/>
    <col customWidth="1" min="2" max="2" width="23.13"/>
    <col customWidth="1" min="3" max="3" width="18.25"/>
    <col customWidth="1" min="4" max="4" width="39.25"/>
    <col customWidth="1" min="5" max="5" width="19.5"/>
    <col customWidth="1" min="6" max="6" width="13.13"/>
    <col customWidth="1" min="7" max="7" width="12.13"/>
    <col customWidth="1" min="8" max="8" width="18.25"/>
    <col customWidth="1" min="9" max="9" width="19.88"/>
  </cols>
  <sheetData>
    <row r="1">
      <c r="A1" s="25" t="s">
        <v>42</v>
      </c>
      <c r="I1" s="26"/>
    </row>
    <row r="2">
      <c r="A2" s="27"/>
      <c r="B2" s="27"/>
      <c r="C2" s="28"/>
      <c r="D2" s="27"/>
      <c r="E2" s="29"/>
      <c r="F2" s="30"/>
      <c r="G2" s="28"/>
      <c r="H2" s="31"/>
      <c r="I2" s="26"/>
    </row>
    <row r="3">
      <c r="A3" s="32" t="s">
        <v>43</v>
      </c>
      <c r="B3" s="27"/>
      <c r="C3" s="28"/>
      <c r="D3" s="27"/>
      <c r="E3" s="29"/>
      <c r="F3" s="30"/>
      <c r="G3" s="28"/>
      <c r="H3" s="31"/>
      <c r="I3" s="26"/>
    </row>
    <row r="4">
      <c r="A4" s="33" t="s">
        <v>44</v>
      </c>
      <c r="I4" s="26"/>
    </row>
    <row r="5">
      <c r="A5" s="27"/>
      <c r="B5" s="27"/>
      <c r="C5" s="28"/>
      <c r="D5" s="27"/>
      <c r="E5" s="29"/>
      <c r="F5" s="30"/>
      <c r="G5" s="28"/>
      <c r="H5" s="31"/>
      <c r="I5" s="26"/>
    </row>
    <row r="6">
      <c r="A6" s="32" t="s">
        <v>45</v>
      </c>
      <c r="B6" s="27"/>
      <c r="C6" s="28"/>
      <c r="D6" s="27"/>
      <c r="E6" s="29"/>
      <c r="F6" s="30"/>
      <c r="G6" s="28"/>
      <c r="H6" s="31"/>
      <c r="I6" s="26"/>
    </row>
    <row r="7">
      <c r="A7" s="34" t="s">
        <v>46</v>
      </c>
      <c r="I7" s="26"/>
    </row>
    <row r="8">
      <c r="A8" s="27"/>
      <c r="B8" s="27"/>
      <c r="C8" s="28"/>
      <c r="D8" s="27"/>
      <c r="E8" s="29"/>
      <c r="F8" s="30"/>
      <c r="G8" s="28"/>
      <c r="H8" s="31"/>
      <c r="I8" s="26"/>
    </row>
    <row r="9">
      <c r="A9" s="32" t="s">
        <v>47</v>
      </c>
      <c r="B9" s="27"/>
      <c r="C9" s="28"/>
      <c r="D9" s="27"/>
      <c r="E9" s="29"/>
      <c r="F9" s="30"/>
      <c r="G9" s="28"/>
      <c r="H9" s="31"/>
      <c r="I9" s="26"/>
    </row>
    <row r="10">
      <c r="A10" s="33" t="s">
        <v>44</v>
      </c>
      <c r="I10" s="26"/>
    </row>
    <row r="11">
      <c r="A11" s="33"/>
      <c r="B11" s="33"/>
      <c r="C11" s="33"/>
      <c r="D11" s="33"/>
      <c r="E11" s="33"/>
      <c r="F11" s="35"/>
      <c r="G11" s="33"/>
      <c r="H11" s="33"/>
      <c r="I11" s="26"/>
    </row>
    <row r="12">
      <c r="A12" s="27"/>
      <c r="B12" s="27"/>
      <c r="C12" s="28"/>
      <c r="D12" s="27"/>
      <c r="E12" s="29"/>
      <c r="F12" s="30"/>
      <c r="G12" s="28"/>
      <c r="H12" s="28"/>
      <c r="I12" s="26"/>
    </row>
    <row r="13" ht="22.5" customHeight="1">
      <c r="A13" s="36" t="s">
        <v>48</v>
      </c>
      <c r="B13" s="37" t="s">
        <v>49</v>
      </c>
      <c r="C13" s="36" t="s">
        <v>50</v>
      </c>
      <c r="D13" s="36" t="s">
        <v>51</v>
      </c>
      <c r="E13" s="38" t="s">
        <v>52</v>
      </c>
      <c r="F13" s="39" t="s">
        <v>53</v>
      </c>
      <c r="G13" s="40" t="s">
        <v>54</v>
      </c>
      <c r="H13" s="40" t="s">
        <v>55</v>
      </c>
      <c r="I13" s="37" t="s">
        <v>56</v>
      </c>
    </row>
    <row r="14" ht="22.5" customHeight="1">
      <c r="A14" s="41" t="s">
        <v>57</v>
      </c>
      <c r="B14" s="41" t="s">
        <v>35</v>
      </c>
      <c r="C14" s="42" t="s">
        <v>58</v>
      </c>
      <c r="D14" s="42" t="s">
        <v>59</v>
      </c>
      <c r="E14" s="43" t="s">
        <v>60</v>
      </c>
      <c r="F14" s="44">
        <v>1.5</v>
      </c>
      <c r="G14" s="45">
        <v>100.0</v>
      </c>
      <c r="H14" s="45">
        <f t="shared" ref="H14:H28" si="1">F14*G14</f>
        <v>150</v>
      </c>
      <c r="I14" s="46" t="s">
        <v>61</v>
      </c>
    </row>
    <row r="15" ht="22.5" customHeight="1">
      <c r="A15" s="41" t="s">
        <v>57</v>
      </c>
      <c r="B15" s="47" t="s">
        <v>35</v>
      </c>
      <c r="C15" s="42" t="s">
        <v>62</v>
      </c>
      <c r="D15" s="42" t="s">
        <v>63</v>
      </c>
      <c r="E15" s="48" t="s">
        <v>64</v>
      </c>
      <c r="F15" s="44">
        <v>1.0</v>
      </c>
      <c r="G15" s="45">
        <v>100.0</v>
      </c>
      <c r="H15" s="45">
        <f t="shared" si="1"/>
        <v>100</v>
      </c>
      <c r="I15" s="46" t="s">
        <v>65</v>
      </c>
    </row>
    <row r="16" ht="22.5" customHeight="1">
      <c r="A16" s="41" t="s">
        <v>57</v>
      </c>
      <c r="B16" s="47" t="s">
        <v>66</v>
      </c>
      <c r="C16" s="42" t="s">
        <v>10</v>
      </c>
      <c r="D16" s="42" t="s">
        <v>67</v>
      </c>
      <c r="E16" s="43" t="s">
        <v>68</v>
      </c>
      <c r="F16" s="44">
        <v>2.0</v>
      </c>
      <c r="G16" s="45">
        <v>150.0</v>
      </c>
      <c r="H16" s="45">
        <f t="shared" si="1"/>
        <v>300</v>
      </c>
      <c r="I16" s="46"/>
    </row>
    <row r="17" ht="22.5" customHeight="1">
      <c r="A17" s="41" t="s">
        <v>57</v>
      </c>
      <c r="B17" s="41" t="s">
        <v>35</v>
      </c>
      <c r="C17" s="42" t="s">
        <v>69</v>
      </c>
      <c r="D17" s="42" t="s">
        <v>70</v>
      </c>
      <c r="E17" s="48" t="s">
        <v>64</v>
      </c>
      <c r="F17" s="44">
        <v>1.0</v>
      </c>
      <c r="G17" s="45">
        <v>100.0</v>
      </c>
      <c r="H17" s="45">
        <f t="shared" si="1"/>
        <v>100</v>
      </c>
      <c r="I17" s="46" t="s">
        <v>65</v>
      </c>
    </row>
    <row r="18" ht="22.5" customHeight="1">
      <c r="A18" s="41" t="s">
        <v>71</v>
      </c>
      <c r="B18" s="47" t="s">
        <v>72</v>
      </c>
      <c r="C18" s="42" t="s">
        <v>73</v>
      </c>
      <c r="D18" s="42" t="s">
        <v>74</v>
      </c>
      <c r="E18" s="48" t="s">
        <v>68</v>
      </c>
      <c r="F18" s="44">
        <v>5.0</v>
      </c>
      <c r="G18" s="45">
        <v>150.0</v>
      </c>
      <c r="H18" s="45">
        <f t="shared" si="1"/>
        <v>750</v>
      </c>
      <c r="I18" s="46"/>
    </row>
    <row r="19" ht="22.5" customHeight="1">
      <c r="A19" s="41" t="s">
        <v>71</v>
      </c>
      <c r="B19" s="47" t="s">
        <v>35</v>
      </c>
      <c r="C19" s="42" t="s">
        <v>75</v>
      </c>
      <c r="D19" s="42" t="s">
        <v>76</v>
      </c>
      <c r="E19" s="48" t="s">
        <v>64</v>
      </c>
      <c r="F19" s="44">
        <v>1.0</v>
      </c>
      <c r="G19" s="45">
        <v>100.0</v>
      </c>
      <c r="H19" s="45">
        <f t="shared" si="1"/>
        <v>100</v>
      </c>
      <c r="I19" s="46" t="s">
        <v>65</v>
      </c>
    </row>
    <row r="20" ht="22.5" customHeight="1">
      <c r="A20" s="41" t="s">
        <v>71</v>
      </c>
      <c r="B20" s="47" t="s">
        <v>72</v>
      </c>
      <c r="C20" s="42" t="s">
        <v>13</v>
      </c>
      <c r="D20" s="42" t="s">
        <v>77</v>
      </c>
      <c r="E20" s="48"/>
      <c r="F20" s="44">
        <v>16.0</v>
      </c>
      <c r="G20" s="45">
        <v>150.0</v>
      </c>
      <c r="H20" s="45">
        <f t="shared" si="1"/>
        <v>2400</v>
      </c>
      <c r="I20" s="46"/>
    </row>
    <row r="21" ht="22.5" customHeight="1">
      <c r="A21" s="41" t="s">
        <v>71</v>
      </c>
      <c r="B21" s="47" t="s">
        <v>35</v>
      </c>
      <c r="C21" s="42" t="s">
        <v>78</v>
      </c>
      <c r="D21" s="49" t="s">
        <v>79</v>
      </c>
      <c r="E21" s="48"/>
      <c r="F21" s="44">
        <v>1.0</v>
      </c>
      <c r="G21" s="45">
        <v>100.0</v>
      </c>
      <c r="H21" s="45">
        <f t="shared" si="1"/>
        <v>100</v>
      </c>
      <c r="I21" s="46" t="s">
        <v>65</v>
      </c>
    </row>
    <row r="22" ht="22.5" customHeight="1">
      <c r="A22" s="41" t="s">
        <v>71</v>
      </c>
      <c r="B22" s="47" t="s">
        <v>72</v>
      </c>
      <c r="C22" s="42" t="s">
        <v>25</v>
      </c>
      <c r="D22" s="42" t="s">
        <v>80</v>
      </c>
      <c r="E22" s="48"/>
      <c r="F22" s="44">
        <v>5.0</v>
      </c>
      <c r="G22" s="45">
        <v>150.0</v>
      </c>
      <c r="H22" s="45">
        <f t="shared" si="1"/>
        <v>750</v>
      </c>
      <c r="I22" s="46"/>
    </row>
    <row r="23" ht="22.5" customHeight="1">
      <c r="A23" s="41" t="s">
        <v>81</v>
      </c>
      <c r="B23" s="47" t="s">
        <v>72</v>
      </c>
      <c r="C23" s="42" t="s">
        <v>82</v>
      </c>
      <c r="D23" s="42" t="s">
        <v>83</v>
      </c>
      <c r="E23" s="48" t="s">
        <v>84</v>
      </c>
      <c r="F23" s="44">
        <v>2.0</v>
      </c>
      <c r="G23" s="45">
        <v>150.0</v>
      </c>
      <c r="H23" s="45">
        <f t="shared" si="1"/>
        <v>300</v>
      </c>
      <c r="I23" s="46"/>
    </row>
    <row r="24" ht="22.5" customHeight="1">
      <c r="A24" s="41" t="s">
        <v>81</v>
      </c>
      <c r="B24" s="41" t="s">
        <v>72</v>
      </c>
      <c r="C24" s="42" t="s">
        <v>85</v>
      </c>
      <c r="D24" s="42" t="s">
        <v>86</v>
      </c>
      <c r="E24" s="48" t="s">
        <v>84</v>
      </c>
      <c r="F24" s="44">
        <v>1.0</v>
      </c>
      <c r="G24" s="45">
        <v>150.0</v>
      </c>
      <c r="H24" s="45">
        <f t="shared" si="1"/>
        <v>150</v>
      </c>
      <c r="I24" s="46"/>
    </row>
    <row r="25" ht="22.5" customHeight="1">
      <c r="A25" s="41" t="s">
        <v>81</v>
      </c>
      <c r="B25" s="41" t="s">
        <v>72</v>
      </c>
      <c r="C25" s="42" t="s">
        <v>33</v>
      </c>
      <c r="D25" s="42" t="s">
        <v>87</v>
      </c>
      <c r="E25" s="48" t="s">
        <v>84</v>
      </c>
      <c r="F25" s="44">
        <v>1.0</v>
      </c>
      <c r="G25" s="45">
        <v>150.0</v>
      </c>
      <c r="H25" s="45">
        <f t="shared" si="1"/>
        <v>150</v>
      </c>
      <c r="I25" s="46"/>
    </row>
    <row r="26" ht="22.5" customHeight="1">
      <c r="A26" s="41" t="s">
        <v>88</v>
      </c>
      <c r="B26" s="41" t="s">
        <v>35</v>
      </c>
      <c r="C26" s="42" t="s">
        <v>89</v>
      </c>
      <c r="D26" s="42" t="s">
        <v>90</v>
      </c>
      <c r="E26" s="43" t="s">
        <v>91</v>
      </c>
      <c r="F26" s="44">
        <v>5.0</v>
      </c>
      <c r="G26" s="45">
        <v>100.0</v>
      </c>
      <c r="H26" s="45">
        <f t="shared" si="1"/>
        <v>500</v>
      </c>
      <c r="I26" s="46"/>
    </row>
    <row r="27" ht="22.5" customHeight="1">
      <c r="A27" s="50" t="s">
        <v>88</v>
      </c>
      <c r="B27" s="41" t="s">
        <v>36</v>
      </c>
      <c r="C27" s="42" t="s">
        <v>36</v>
      </c>
      <c r="D27" s="42" t="s">
        <v>92</v>
      </c>
      <c r="E27" s="43" t="s">
        <v>93</v>
      </c>
      <c r="F27" s="51">
        <v>2.0</v>
      </c>
      <c r="G27" s="52">
        <v>100.0</v>
      </c>
      <c r="H27" s="52">
        <f t="shared" si="1"/>
        <v>200</v>
      </c>
      <c r="I27" s="46"/>
    </row>
    <row r="28" ht="22.5" customHeight="1">
      <c r="A28" s="41" t="s">
        <v>88</v>
      </c>
      <c r="B28" s="41" t="s">
        <v>94</v>
      </c>
      <c r="C28" s="42" t="s">
        <v>94</v>
      </c>
      <c r="D28" s="42" t="s">
        <v>44</v>
      </c>
      <c r="E28" s="48"/>
      <c r="F28" s="51">
        <v>0.0</v>
      </c>
      <c r="G28" s="52">
        <v>100.0</v>
      </c>
      <c r="H28" s="52">
        <f t="shared" si="1"/>
        <v>0</v>
      </c>
      <c r="I28" s="46"/>
    </row>
    <row r="29" ht="22.5" customHeight="1">
      <c r="A29" s="53" t="s">
        <v>55</v>
      </c>
      <c r="B29" s="54"/>
      <c r="C29" s="53"/>
      <c r="D29" s="53"/>
      <c r="E29" s="55"/>
      <c r="F29" s="56"/>
      <c r="G29" s="57"/>
      <c r="H29" s="57">
        <f>SUM(Tier_1[Total])</f>
        <v>6050</v>
      </c>
      <c r="I29" s="54"/>
    </row>
    <row r="30">
      <c r="A30" s="58"/>
      <c r="B30" s="58"/>
      <c r="C30" s="59"/>
      <c r="D30" s="58"/>
      <c r="E30" s="58"/>
      <c r="F30" s="60"/>
      <c r="G30" s="61"/>
      <c r="H30" s="61"/>
      <c r="I30" s="59"/>
    </row>
    <row r="31">
      <c r="A31" s="62"/>
      <c r="B31" s="62"/>
      <c r="C31" s="63"/>
      <c r="D31" s="64"/>
      <c r="E31" s="62"/>
      <c r="F31" s="65"/>
      <c r="G31" s="66"/>
      <c r="H31" s="66"/>
      <c r="I31" s="63"/>
    </row>
    <row r="32">
      <c r="A32" s="67"/>
      <c r="B32" s="67"/>
      <c r="C32" s="26"/>
      <c r="D32" s="15"/>
      <c r="E32" s="68"/>
      <c r="F32" s="69"/>
      <c r="G32" s="70"/>
      <c r="H32" s="70"/>
      <c r="I32" s="26"/>
    </row>
    <row r="33">
      <c r="A33" s="68"/>
      <c r="B33" s="68"/>
      <c r="C33" s="26"/>
      <c r="D33" s="71"/>
      <c r="E33" s="68"/>
      <c r="F33" s="69"/>
      <c r="G33" s="70"/>
      <c r="H33" s="70"/>
      <c r="I33" s="26"/>
    </row>
    <row r="34">
      <c r="A34" s="68"/>
      <c r="B34" s="68"/>
      <c r="C34" s="26"/>
      <c r="D34" s="71"/>
      <c r="E34" s="68"/>
      <c r="F34" s="69"/>
      <c r="G34" s="70"/>
      <c r="H34" s="70"/>
      <c r="I34" s="26"/>
    </row>
    <row r="35">
      <c r="A35" s="67"/>
      <c r="B35" s="67"/>
      <c r="C35" s="26"/>
      <c r="D35" s="15"/>
      <c r="E35" s="68"/>
      <c r="F35" s="69"/>
      <c r="G35" s="70"/>
      <c r="H35" s="70"/>
      <c r="I35" s="26"/>
    </row>
    <row r="36">
      <c r="A36" s="67"/>
      <c r="B36" s="67"/>
      <c r="C36" s="26"/>
      <c r="D36" s="15"/>
      <c r="E36" s="68"/>
      <c r="F36" s="69"/>
      <c r="G36" s="70"/>
      <c r="H36" s="70"/>
      <c r="I36" s="26"/>
    </row>
    <row r="37">
      <c r="A37" s="67"/>
      <c r="B37" s="67"/>
      <c r="C37" s="26"/>
      <c r="D37" s="15"/>
      <c r="E37" s="68"/>
      <c r="F37" s="69"/>
      <c r="G37" s="70"/>
      <c r="H37" s="70"/>
      <c r="I37" s="26"/>
    </row>
    <row r="38">
      <c r="A38" s="67"/>
      <c r="B38" s="67"/>
      <c r="C38" s="26"/>
      <c r="D38" s="15"/>
      <c r="E38" s="68"/>
      <c r="F38" s="69"/>
      <c r="G38" s="70"/>
      <c r="H38" s="70"/>
      <c r="I38" s="26"/>
    </row>
    <row r="39">
      <c r="A39" s="72"/>
      <c r="B39" s="72"/>
      <c r="C39" s="26"/>
      <c r="D39" s="73"/>
      <c r="E39" s="68"/>
      <c r="F39" s="69"/>
      <c r="G39" s="70"/>
      <c r="H39" s="70"/>
      <c r="I39" s="26"/>
    </row>
    <row r="40">
      <c r="A40" s="67"/>
      <c r="B40" s="67"/>
      <c r="C40" s="26"/>
      <c r="D40" s="15"/>
      <c r="E40" s="68"/>
      <c r="F40" s="69"/>
      <c r="G40" s="70"/>
      <c r="H40" s="70"/>
      <c r="I40" s="26"/>
    </row>
    <row r="41">
      <c r="A41" s="67"/>
      <c r="B41" s="67"/>
      <c r="C41" s="26"/>
      <c r="D41" s="15"/>
      <c r="E41" s="68"/>
      <c r="F41" s="69"/>
      <c r="G41" s="70"/>
      <c r="H41" s="70"/>
      <c r="I41" s="26"/>
    </row>
    <row r="42">
      <c r="A42" s="67"/>
      <c r="B42" s="67"/>
      <c r="C42" s="26"/>
      <c r="D42" s="15"/>
      <c r="E42" s="68"/>
      <c r="F42" s="69"/>
      <c r="G42" s="70"/>
      <c r="H42" s="70"/>
      <c r="I42" s="26"/>
    </row>
    <row r="43">
      <c r="A43" s="68"/>
      <c r="B43" s="68"/>
      <c r="C43" s="26"/>
      <c r="D43" s="68"/>
      <c r="E43" s="68"/>
      <c r="F43" s="69"/>
      <c r="G43" s="70"/>
      <c r="H43" s="70"/>
      <c r="I43" s="26"/>
    </row>
    <row r="44">
      <c r="A44" s="68"/>
      <c r="B44" s="68"/>
      <c r="C44" s="26"/>
      <c r="D44" s="68"/>
      <c r="E44" s="68"/>
      <c r="F44" s="69"/>
      <c r="G44" s="70"/>
      <c r="H44" s="70"/>
      <c r="I44" s="26"/>
    </row>
    <row r="45">
      <c r="A45" s="68"/>
      <c r="B45" s="68"/>
      <c r="C45" s="26"/>
      <c r="D45" s="68"/>
      <c r="E45" s="68"/>
      <c r="F45" s="69"/>
      <c r="G45" s="70"/>
      <c r="H45" s="70"/>
      <c r="I45" s="26"/>
    </row>
    <row r="46">
      <c r="A46" s="68"/>
      <c r="B46" s="68"/>
      <c r="C46" s="26"/>
      <c r="D46" s="68"/>
      <c r="E46" s="68"/>
      <c r="F46" s="69"/>
      <c r="G46" s="70"/>
      <c r="H46" s="70"/>
      <c r="I46" s="26"/>
    </row>
    <row r="47">
      <c r="A47" s="68"/>
      <c r="B47" s="68"/>
      <c r="C47" s="26"/>
      <c r="D47" s="68"/>
      <c r="E47" s="68"/>
      <c r="F47" s="69"/>
      <c r="G47" s="70"/>
      <c r="H47" s="70"/>
      <c r="I47" s="26"/>
    </row>
  </sheetData>
  <customSheetViews>
    <customSheetView guid="{2050A15C-0619-426F-B892-FED4CD0E1579}" filter="1" showAutoFilter="1">
      <autoFilter ref="$A$13:$I$29"/>
    </customSheetView>
  </customSheetViews>
  <mergeCells count="4">
    <mergeCell ref="A1:H1"/>
    <mergeCell ref="A4:H4"/>
    <mergeCell ref="A7:H7"/>
    <mergeCell ref="A10:H10"/>
  </mergeCells>
  <dataValidations>
    <dataValidation type="list" allowBlank="1" sqref="E14:E28">
      <formula1>"Nick,Deb,Daniel,Kellie,Cassidy,Amy,Alli,Devon,Emily,Account Manager"</formula1>
    </dataValidation>
    <dataValidation type="list" allowBlank="1" sqref="A14:A28">
      <formula1>"1. Project Kickoff,2. Brand Design,3. Brand Message,4. Final Deliverables,5. General"</formula1>
    </dataValidation>
    <dataValidation type="custom" allowBlank="1" showDropDown="1" sqref="G14:H28">
      <formula1>AND(ISNUMBER(G14),(NOT(OR(NOT(ISERROR(DATEVALUE(G14))), AND(ISNUMBER(G14), LEFT(CELL("format", G14))="D")))))</formula1>
    </dataValidation>
    <dataValidation type="list" allowBlank="1" sqref="B14:B28">
      <formula1>"Account Service,Copywriting,Creative Design,Creative Direction,Marketing Coordination,Production Management,Formulating New Business"</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0"/>
    <col customWidth="1" min="2" max="2" width="23.13"/>
    <col customWidth="1" min="3" max="3" width="18.25"/>
    <col customWidth="1" min="4" max="4" width="39.25"/>
    <col customWidth="1" min="5" max="5" width="19.5"/>
    <col customWidth="1" min="6" max="6" width="13.13"/>
    <col customWidth="1" min="7" max="7" width="12.13"/>
    <col customWidth="1" min="8" max="8" width="18.25"/>
    <col customWidth="1" min="9" max="9" width="19.88"/>
    <col customWidth="1" min="10" max="10" width="13.63"/>
  </cols>
  <sheetData>
    <row r="1">
      <c r="A1" s="25" t="s">
        <v>42</v>
      </c>
      <c r="I1" s="26"/>
      <c r="J1" s="26"/>
    </row>
    <row r="2">
      <c r="A2" s="27"/>
      <c r="B2" s="27"/>
      <c r="C2" s="28"/>
      <c r="D2" s="27"/>
      <c r="E2" s="29"/>
      <c r="F2" s="30"/>
      <c r="G2" s="28"/>
      <c r="H2" s="31"/>
      <c r="I2" s="26"/>
      <c r="J2" s="26"/>
    </row>
    <row r="3">
      <c r="A3" s="32" t="s">
        <v>43</v>
      </c>
      <c r="B3" s="27"/>
      <c r="C3" s="28"/>
      <c r="D3" s="27"/>
      <c r="E3" s="29"/>
      <c r="F3" s="30"/>
      <c r="G3" s="28"/>
      <c r="H3" s="31"/>
      <c r="I3" s="26"/>
      <c r="J3" s="26"/>
    </row>
    <row r="4">
      <c r="A4" s="33" t="s">
        <v>44</v>
      </c>
      <c r="I4" s="26"/>
      <c r="J4" s="26"/>
    </row>
    <row r="5">
      <c r="A5" s="27"/>
      <c r="B5" s="27"/>
      <c r="C5" s="28"/>
      <c r="D5" s="27"/>
      <c r="E5" s="29"/>
      <c r="F5" s="30"/>
      <c r="G5" s="28"/>
      <c r="H5" s="31"/>
      <c r="I5" s="26"/>
      <c r="J5" s="26"/>
    </row>
    <row r="6">
      <c r="A6" s="32" t="s">
        <v>45</v>
      </c>
      <c r="B6" s="27"/>
      <c r="C6" s="28"/>
      <c r="D6" s="27"/>
      <c r="E6" s="29"/>
      <c r="F6" s="30"/>
      <c r="G6" s="28"/>
      <c r="H6" s="31"/>
      <c r="I6" s="26"/>
      <c r="J6" s="26"/>
    </row>
    <row r="7">
      <c r="A7" s="34" t="s">
        <v>95</v>
      </c>
      <c r="I7" s="26"/>
      <c r="J7" s="26"/>
    </row>
    <row r="8">
      <c r="A8" s="27"/>
      <c r="B8" s="27"/>
      <c r="C8" s="28"/>
      <c r="D8" s="27"/>
      <c r="E8" s="29"/>
      <c r="F8" s="30"/>
      <c r="G8" s="28"/>
      <c r="H8" s="31"/>
      <c r="I8" s="26"/>
      <c r="J8" s="26"/>
    </row>
    <row r="9">
      <c r="A9" s="32" t="s">
        <v>47</v>
      </c>
      <c r="B9" s="27"/>
      <c r="C9" s="28"/>
      <c r="D9" s="27"/>
      <c r="E9" s="29"/>
      <c r="F9" s="30"/>
      <c r="G9" s="28"/>
      <c r="H9" s="31"/>
      <c r="I9" s="26"/>
      <c r="J9" s="26"/>
    </row>
    <row r="10">
      <c r="A10" s="33" t="s">
        <v>44</v>
      </c>
      <c r="I10" s="26"/>
      <c r="J10" s="26"/>
    </row>
    <row r="11">
      <c r="A11" s="33"/>
      <c r="B11" s="33"/>
      <c r="C11" s="33"/>
      <c r="D11" s="33"/>
      <c r="E11" s="33"/>
      <c r="F11" s="35"/>
      <c r="G11" s="33"/>
      <c r="H11" s="33"/>
      <c r="I11" s="26"/>
      <c r="J11" s="26"/>
    </row>
    <row r="12">
      <c r="A12" s="27"/>
      <c r="B12" s="27"/>
      <c r="C12" s="28"/>
      <c r="D12" s="27"/>
      <c r="E12" s="29"/>
      <c r="F12" s="30"/>
      <c r="G12" s="28"/>
      <c r="H12" s="28"/>
      <c r="I12" s="26"/>
      <c r="J12" s="26"/>
    </row>
    <row r="13" ht="22.5" customHeight="1">
      <c r="A13" s="36" t="s">
        <v>48</v>
      </c>
      <c r="B13" s="37" t="s">
        <v>49</v>
      </c>
      <c r="C13" s="36" t="s">
        <v>50</v>
      </c>
      <c r="D13" s="36" t="s">
        <v>51</v>
      </c>
      <c r="E13" s="38" t="s">
        <v>52</v>
      </c>
      <c r="F13" s="39" t="s">
        <v>53</v>
      </c>
      <c r="G13" s="40" t="s">
        <v>54</v>
      </c>
      <c r="H13" s="40" t="s">
        <v>55</v>
      </c>
      <c r="I13" s="37" t="s">
        <v>56</v>
      </c>
    </row>
    <row r="14" ht="22.5" customHeight="1">
      <c r="A14" s="41" t="s">
        <v>57</v>
      </c>
      <c r="B14" s="41" t="s">
        <v>35</v>
      </c>
      <c r="C14" s="42" t="s">
        <v>58</v>
      </c>
      <c r="D14" s="42" t="s">
        <v>59</v>
      </c>
      <c r="E14" s="43" t="s">
        <v>60</v>
      </c>
      <c r="F14" s="44">
        <v>1.5</v>
      </c>
      <c r="G14" s="45">
        <v>100.0</v>
      </c>
      <c r="H14" s="45">
        <f t="shared" ref="H14:H28" si="1">F14*G14</f>
        <v>150</v>
      </c>
      <c r="I14" s="46" t="s">
        <v>61</v>
      </c>
    </row>
    <row r="15" ht="22.5" customHeight="1">
      <c r="A15" s="41" t="s">
        <v>57</v>
      </c>
      <c r="B15" s="47" t="s">
        <v>35</v>
      </c>
      <c r="C15" s="42" t="s">
        <v>62</v>
      </c>
      <c r="D15" s="42" t="s">
        <v>63</v>
      </c>
      <c r="E15" s="48" t="s">
        <v>64</v>
      </c>
      <c r="F15" s="44">
        <v>1.0</v>
      </c>
      <c r="G15" s="45">
        <v>100.0</v>
      </c>
      <c r="H15" s="45">
        <f t="shared" si="1"/>
        <v>100</v>
      </c>
      <c r="I15" s="46" t="s">
        <v>65</v>
      </c>
    </row>
    <row r="16" ht="22.5" customHeight="1">
      <c r="A16" s="41" t="s">
        <v>57</v>
      </c>
      <c r="B16" s="47" t="s">
        <v>66</v>
      </c>
      <c r="C16" s="42" t="s">
        <v>10</v>
      </c>
      <c r="D16" s="42" t="s">
        <v>67</v>
      </c>
      <c r="E16" s="43" t="s">
        <v>68</v>
      </c>
      <c r="F16" s="44">
        <v>2.0</v>
      </c>
      <c r="G16" s="45">
        <v>150.0</v>
      </c>
      <c r="H16" s="45">
        <f t="shared" si="1"/>
        <v>300</v>
      </c>
      <c r="I16" s="46"/>
    </row>
    <row r="17" ht="22.5" customHeight="1">
      <c r="A17" s="41" t="s">
        <v>57</v>
      </c>
      <c r="B17" s="41" t="s">
        <v>35</v>
      </c>
      <c r="C17" s="42" t="s">
        <v>69</v>
      </c>
      <c r="D17" s="42" t="s">
        <v>70</v>
      </c>
      <c r="E17" s="48" t="s">
        <v>64</v>
      </c>
      <c r="F17" s="44">
        <v>1.0</v>
      </c>
      <c r="G17" s="45">
        <v>100.0</v>
      </c>
      <c r="H17" s="45">
        <f t="shared" si="1"/>
        <v>100</v>
      </c>
      <c r="I17" s="46" t="s">
        <v>65</v>
      </c>
    </row>
    <row r="18" ht="22.5" customHeight="1">
      <c r="A18" s="41" t="s">
        <v>71</v>
      </c>
      <c r="B18" s="47" t="s">
        <v>72</v>
      </c>
      <c r="C18" s="42" t="s">
        <v>73</v>
      </c>
      <c r="D18" s="42" t="s">
        <v>96</v>
      </c>
      <c r="E18" s="48" t="s">
        <v>68</v>
      </c>
      <c r="F18" s="44">
        <v>10.0</v>
      </c>
      <c r="G18" s="45">
        <v>150.0</v>
      </c>
      <c r="H18" s="45">
        <f t="shared" si="1"/>
        <v>1500</v>
      </c>
      <c r="I18" s="46"/>
    </row>
    <row r="19" ht="22.5" customHeight="1">
      <c r="A19" s="41" t="s">
        <v>71</v>
      </c>
      <c r="B19" s="47" t="s">
        <v>35</v>
      </c>
      <c r="C19" s="42" t="s">
        <v>75</v>
      </c>
      <c r="D19" s="42" t="s">
        <v>76</v>
      </c>
      <c r="E19" s="48" t="s">
        <v>64</v>
      </c>
      <c r="F19" s="44">
        <v>1.0</v>
      </c>
      <c r="G19" s="45">
        <v>100.0</v>
      </c>
      <c r="H19" s="45">
        <f t="shared" si="1"/>
        <v>100</v>
      </c>
      <c r="I19" s="46" t="s">
        <v>65</v>
      </c>
    </row>
    <row r="20" ht="22.5" customHeight="1">
      <c r="A20" s="41" t="s">
        <v>71</v>
      </c>
      <c r="B20" s="47" t="s">
        <v>72</v>
      </c>
      <c r="C20" s="42" t="s">
        <v>13</v>
      </c>
      <c r="D20" s="42" t="s">
        <v>97</v>
      </c>
      <c r="E20" s="48" t="s">
        <v>68</v>
      </c>
      <c r="F20" s="44">
        <v>30.0</v>
      </c>
      <c r="G20" s="45">
        <v>150.0</v>
      </c>
      <c r="H20" s="45">
        <f t="shared" si="1"/>
        <v>4500</v>
      </c>
      <c r="I20" s="46"/>
    </row>
    <row r="21" ht="22.5" customHeight="1">
      <c r="A21" s="41" t="s">
        <v>71</v>
      </c>
      <c r="B21" s="47" t="s">
        <v>35</v>
      </c>
      <c r="C21" s="42" t="s">
        <v>78</v>
      </c>
      <c r="D21" s="49" t="s">
        <v>79</v>
      </c>
      <c r="E21" s="48" t="s">
        <v>64</v>
      </c>
      <c r="F21" s="44">
        <v>2.0</v>
      </c>
      <c r="G21" s="45">
        <v>100.0</v>
      </c>
      <c r="H21" s="45">
        <f t="shared" si="1"/>
        <v>200</v>
      </c>
      <c r="I21" s="46" t="s">
        <v>98</v>
      </c>
    </row>
    <row r="22" ht="22.5" customHeight="1">
      <c r="A22" s="41" t="s">
        <v>71</v>
      </c>
      <c r="B22" s="47" t="s">
        <v>72</v>
      </c>
      <c r="C22" s="42" t="s">
        <v>25</v>
      </c>
      <c r="D22" s="42" t="s">
        <v>99</v>
      </c>
      <c r="E22" s="48" t="s">
        <v>68</v>
      </c>
      <c r="F22" s="44">
        <v>8.0</v>
      </c>
      <c r="G22" s="45">
        <v>150.0</v>
      </c>
      <c r="H22" s="45">
        <f t="shared" si="1"/>
        <v>1200</v>
      </c>
      <c r="I22" s="46"/>
    </row>
    <row r="23" ht="22.5" customHeight="1">
      <c r="A23" s="41" t="s">
        <v>81</v>
      </c>
      <c r="B23" s="47" t="s">
        <v>72</v>
      </c>
      <c r="C23" s="42" t="s">
        <v>82</v>
      </c>
      <c r="D23" s="42" t="s">
        <v>83</v>
      </c>
      <c r="E23" s="48" t="s">
        <v>84</v>
      </c>
      <c r="F23" s="44">
        <v>2.0</v>
      </c>
      <c r="G23" s="45">
        <v>150.0</v>
      </c>
      <c r="H23" s="45">
        <f t="shared" si="1"/>
        <v>300</v>
      </c>
      <c r="I23" s="46"/>
    </row>
    <row r="24" ht="22.5" customHeight="1">
      <c r="A24" s="41" t="s">
        <v>81</v>
      </c>
      <c r="B24" s="41" t="s">
        <v>72</v>
      </c>
      <c r="C24" s="42" t="s">
        <v>85</v>
      </c>
      <c r="D24" s="42" t="s">
        <v>86</v>
      </c>
      <c r="E24" s="48" t="s">
        <v>84</v>
      </c>
      <c r="F24" s="44">
        <v>1.0</v>
      </c>
      <c r="G24" s="45">
        <v>150.0</v>
      </c>
      <c r="H24" s="45">
        <f t="shared" si="1"/>
        <v>150</v>
      </c>
      <c r="I24" s="46"/>
    </row>
    <row r="25" ht="22.5" customHeight="1">
      <c r="A25" s="41" t="s">
        <v>81</v>
      </c>
      <c r="B25" s="41" t="s">
        <v>72</v>
      </c>
      <c r="C25" s="42" t="s">
        <v>33</v>
      </c>
      <c r="D25" s="42" t="s">
        <v>87</v>
      </c>
      <c r="E25" s="48" t="s">
        <v>84</v>
      </c>
      <c r="F25" s="44">
        <v>1.0</v>
      </c>
      <c r="G25" s="45">
        <v>150.0</v>
      </c>
      <c r="H25" s="45">
        <f t="shared" si="1"/>
        <v>150</v>
      </c>
      <c r="I25" s="46"/>
    </row>
    <row r="26" ht="22.5" customHeight="1">
      <c r="A26" s="41" t="s">
        <v>88</v>
      </c>
      <c r="B26" s="41" t="s">
        <v>35</v>
      </c>
      <c r="C26" s="42" t="s">
        <v>89</v>
      </c>
      <c r="D26" s="42" t="s">
        <v>90</v>
      </c>
      <c r="E26" s="43" t="s">
        <v>91</v>
      </c>
      <c r="F26" s="44">
        <v>10.0</v>
      </c>
      <c r="G26" s="45">
        <v>100.0</v>
      </c>
      <c r="H26" s="45">
        <f t="shared" si="1"/>
        <v>1000</v>
      </c>
      <c r="I26" s="46"/>
    </row>
    <row r="27" ht="22.5" customHeight="1">
      <c r="A27" s="50" t="s">
        <v>88</v>
      </c>
      <c r="B27" s="41" t="s">
        <v>36</v>
      </c>
      <c r="C27" s="42" t="s">
        <v>36</v>
      </c>
      <c r="D27" s="42" t="s">
        <v>92</v>
      </c>
      <c r="E27" s="43" t="s">
        <v>93</v>
      </c>
      <c r="F27" s="74">
        <v>4.0</v>
      </c>
      <c r="G27" s="75">
        <v>100.0</v>
      </c>
      <c r="H27" s="75">
        <f t="shared" si="1"/>
        <v>400</v>
      </c>
      <c r="I27" s="46"/>
    </row>
    <row r="28" ht="22.5" customHeight="1">
      <c r="A28" s="41" t="s">
        <v>88</v>
      </c>
      <c r="B28" s="41" t="s">
        <v>94</v>
      </c>
      <c r="C28" s="42" t="s">
        <v>94</v>
      </c>
      <c r="D28" s="42" t="s">
        <v>44</v>
      </c>
      <c r="E28" s="48"/>
      <c r="F28" s="74">
        <v>0.0</v>
      </c>
      <c r="G28" s="75">
        <v>100.0</v>
      </c>
      <c r="H28" s="75">
        <f t="shared" si="1"/>
        <v>0</v>
      </c>
      <c r="I28" s="46"/>
    </row>
    <row r="29" ht="22.5" customHeight="1">
      <c r="A29" s="53" t="s">
        <v>55</v>
      </c>
      <c r="B29" s="54"/>
      <c r="C29" s="53"/>
      <c r="D29" s="53"/>
      <c r="E29" s="55"/>
      <c r="F29" s="56"/>
      <c r="G29" s="57"/>
      <c r="H29" s="57">
        <f>SUM(Tier_2[Total])</f>
        <v>10150</v>
      </c>
      <c r="I29" s="54"/>
    </row>
    <row r="30">
      <c r="A30" s="58"/>
      <c r="B30" s="58"/>
      <c r="C30" s="59"/>
      <c r="D30" s="58"/>
      <c r="E30" s="58"/>
      <c r="F30" s="60"/>
      <c r="G30" s="61"/>
      <c r="H30" s="61"/>
      <c r="I30" s="59"/>
      <c r="J30" s="59"/>
    </row>
    <row r="31">
      <c r="A31" s="62"/>
      <c r="B31" s="62"/>
      <c r="C31" s="63"/>
      <c r="D31" s="64"/>
      <c r="E31" s="62"/>
      <c r="F31" s="65"/>
      <c r="G31" s="66"/>
      <c r="H31" s="66"/>
      <c r="I31" s="63"/>
      <c r="J31" s="63"/>
    </row>
    <row r="32">
      <c r="A32" s="67"/>
      <c r="B32" s="67"/>
      <c r="C32" s="26"/>
      <c r="D32" s="15"/>
      <c r="E32" s="68"/>
      <c r="F32" s="69"/>
      <c r="G32" s="70"/>
      <c r="H32" s="70"/>
      <c r="I32" s="26"/>
      <c r="J32" s="26"/>
    </row>
    <row r="33">
      <c r="A33" s="68"/>
      <c r="B33" s="68"/>
      <c r="C33" s="26"/>
      <c r="D33" s="71"/>
      <c r="E33" s="68"/>
      <c r="F33" s="69"/>
      <c r="G33" s="70"/>
      <c r="H33" s="70"/>
      <c r="I33" s="26"/>
      <c r="J33" s="26"/>
    </row>
    <row r="34">
      <c r="A34" s="68"/>
      <c r="B34" s="68"/>
      <c r="C34" s="26"/>
      <c r="D34" s="71"/>
      <c r="E34" s="68"/>
      <c r="F34" s="69"/>
      <c r="G34" s="70"/>
      <c r="H34" s="70"/>
      <c r="I34" s="26"/>
      <c r="J34" s="26"/>
    </row>
    <row r="35">
      <c r="A35" s="67"/>
      <c r="B35" s="67"/>
      <c r="C35" s="26"/>
      <c r="D35" s="15"/>
      <c r="E35" s="68"/>
      <c r="F35" s="69"/>
      <c r="G35" s="70"/>
      <c r="H35" s="70"/>
      <c r="I35" s="26"/>
      <c r="J35" s="26"/>
    </row>
    <row r="36">
      <c r="A36" s="67"/>
      <c r="B36" s="67"/>
      <c r="C36" s="26"/>
      <c r="D36" s="15"/>
      <c r="E36" s="68"/>
      <c r="F36" s="69"/>
      <c r="G36" s="70"/>
      <c r="H36" s="70"/>
      <c r="I36" s="26"/>
      <c r="J36" s="26"/>
    </row>
    <row r="37">
      <c r="A37" s="67"/>
      <c r="B37" s="67"/>
      <c r="C37" s="26"/>
      <c r="D37" s="15"/>
      <c r="E37" s="68"/>
      <c r="F37" s="69"/>
      <c r="G37" s="70"/>
      <c r="H37" s="70"/>
      <c r="I37" s="26"/>
      <c r="J37" s="26"/>
    </row>
    <row r="38">
      <c r="A38" s="67"/>
      <c r="B38" s="67"/>
      <c r="C38" s="26"/>
      <c r="D38" s="15"/>
      <c r="E38" s="68"/>
      <c r="F38" s="69"/>
      <c r="G38" s="70"/>
      <c r="H38" s="70"/>
      <c r="I38" s="26"/>
      <c r="J38" s="26"/>
    </row>
    <row r="39">
      <c r="A39" s="72"/>
      <c r="B39" s="72"/>
      <c r="C39" s="26"/>
      <c r="D39" s="73"/>
      <c r="E39" s="68"/>
      <c r="F39" s="69"/>
      <c r="G39" s="70"/>
      <c r="H39" s="70"/>
      <c r="I39" s="26"/>
      <c r="J39" s="26"/>
    </row>
    <row r="40">
      <c r="A40" s="67"/>
      <c r="B40" s="67"/>
      <c r="C40" s="26"/>
      <c r="D40" s="15"/>
      <c r="E40" s="68"/>
      <c r="F40" s="69"/>
      <c r="G40" s="70"/>
      <c r="H40" s="70"/>
      <c r="I40" s="26"/>
      <c r="J40" s="26"/>
    </row>
    <row r="41">
      <c r="A41" s="67"/>
      <c r="B41" s="67"/>
      <c r="C41" s="26"/>
      <c r="D41" s="15"/>
      <c r="E41" s="68"/>
      <c r="F41" s="69"/>
      <c r="G41" s="70"/>
      <c r="H41" s="70"/>
      <c r="I41" s="26"/>
      <c r="J41" s="26"/>
    </row>
    <row r="42">
      <c r="A42" s="67"/>
      <c r="B42" s="67"/>
      <c r="C42" s="26"/>
      <c r="D42" s="15"/>
      <c r="E42" s="68"/>
      <c r="F42" s="69"/>
      <c r="G42" s="70"/>
      <c r="H42" s="70"/>
      <c r="I42" s="26"/>
      <c r="J42" s="26"/>
    </row>
    <row r="43">
      <c r="A43" s="68"/>
      <c r="B43" s="68"/>
      <c r="C43" s="26"/>
      <c r="D43" s="68"/>
      <c r="E43" s="68"/>
      <c r="F43" s="69"/>
      <c r="G43" s="70"/>
      <c r="H43" s="70"/>
      <c r="I43" s="26"/>
      <c r="J43" s="26"/>
    </row>
    <row r="44">
      <c r="A44" s="68"/>
      <c r="B44" s="68"/>
      <c r="C44" s="26"/>
      <c r="D44" s="68"/>
      <c r="E44" s="68"/>
      <c r="F44" s="69"/>
      <c r="G44" s="70"/>
      <c r="H44" s="70"/>
      <c r="I44" s="26"/>
      <c r="J44" s="26"/>
    </row>
    <row r="45">
      <c r="A45" s="68"/>
      <c r="B45" s="68"/>
      <c r="C45" s="26"/>
      <c r="D45" s="68"/>
      <c r="E45" s="68"/>
      <c r="F45" s="69"/>
      <c r="G45" s="70"/>
      <c r="H45" s="70"/>
      <c r="I45" s="26"/>
      <c r="J45" s="26"/>
    </row>
    <row r="46">
      <c r="A46" s="68"/>
      <c r="B46" s="68"/>
      <c r="C46" s="26"/>
      <c r="D46" s="68"/>
      <c r="E46" s="68"/>
      <c r="F46" s="69"/>
      <c r="G46" s="70"/>
      <c r="H46" s="70"/>
      <c r="I46" s="26"/>
      <c r="J46" s="26"/>
    </row>
    <row r="47">
      <c r="A47" s="68"/>
      <c r="B47" s="68"/>
      <c r="C47" s="26"/>
      <c r="D47" s="68"/>
      <c r="E47" s="68"/>
      <c r="F47" s="69"/>
      <c r="G47" s="70"/>
      <c r="H47" s="70"/>
      <c r="I47" s="26"/>
      <c r="J47" s="26"/>
    </row>
  </sheetData>
  <customSheetViews>
    <customSheetView guid="{2050A15C-0619-426F-B892-FED4CD0E1579}" filter="1" showAutoFilter="1">
      <autoFilter ref="$A$13:$I$29"/>
    </customSheetView>
  </customSheetViews>
  <mergeCells count="4">
    <mergeCell ref="A1:H1"/>
    <mergeCell ref="A4:H4"/>
    <mergeCell ref="A7:H7"/>
    <mergeCell ref="A10:H10"/>
  </mergeCells>
  <dataValidations>
    <dataValidation type="list" allowBlank="1" sqref="E14:E28">
      <formula1>"Nick,Deb,Daniel,Kellie,Cassidy,Amy,Alli,Devon,Emily,Account Manager"</formula1>
    </dataValidation>
    <dataValidation type="list" allowBlank="1" sqref="A14:A28">
      <formula1>"1. Project Kickoff,2. Brand Design,3. Brand Message,4. Final Deliverables,5. General"</formula1>
    </dataValidation>
    <dataValidation type="custom" allowBlank="1" showDropDown="1" sqref="G14:H28">
      <formula1>AND(ISNUMBER(G14),(NOT(OR(NOT(ISERROR(DATEVALUE(G14))), AND(ISNUMBER(G14), LEFT(CELL("format", G14))="D")))))</formula1>
    </dataValidation>
    <dataValidation type="list" allowBlank="1" sqref="B14:B28">
      <formula1>"Account Service,Copywriting,Creative Design,Creative Direction,Marketing Coordination,Production Management,Formulating New Business"</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0"/>
    <col customWidth="1" min="2" max="2" width="23.13"/>
    <col customWidth="1" min="3" max="3" width="18.25"/>
    <col customWidth="1" min="4" max="4" width="39.25"/>
    <col customWidth="1" min="5" max="5" width="19.5"/>
    <col customWidth="1" min="6" max="6" width="13.13"/>
    <col customWidth="1" min="7" max="7" width="12.13"/>
    <col customWidth="1" min="8" max="8" width="18.25"/>
    <col customWidth="1" min="9" max="9" width="19.88"/>
    <col customWidth="1" min="10" max="10" width="13.63"/>
  </cols>
  <sheetData>
    <row r="1">
      <c r="A1" s="25" t="s">
        <v>42</v>
      </c>
      <c r="I1" s="26"/>
      <c r="J1" s="26"/>
    </row>
    <row r="2">
      <c r="A2" s="27"/>
      <c r="B2" s="27"/>
      <c r="C2" s="28"/>
      <c r="D2" s="27"/>
      <c r="E2" s="29"/>
      <c r="F2" s="30"/>
      <c r="G2" s="28"/>
      <c r="H2" s="31"/>
      <c r="I2" s="26"/>
      <c r="J2" s="26"/>
    </row>
    <row r="3">
      <c r="A3" s="32" t="s">
        <v>43</v>
      </c>
      <c r="B3" s="27"/>
      <c r="C3" s="28"/>
      <c r="D3" s="27"/>
      <c r="E3" s="29"/>
      <c r="F3" s="30"/>
      <c r="G3" s="28"/>
      <c r="H3" s="31"/>
      <c r="I3" s="26"/>
      <c r="J3" s="26"/>
    </row>
    <row r="4">
      <c r="A4" s="33" t="s">
        <v>44</v>
      </c>
      <c r="I4" s="26"/>
      <c r="J4" s="26"/>
    </row>
    <row r="5">
      <c r="A5" s="27"/>
      <c r="B5" s="27"/>
      <c r="C5" s="28"/>
      <c r="D5" s="27"/>
      <c r="E5" s="29"/>
      <c r="F5" s="30"/>
      <c r="G5" s="28"/>
      <c r="H5" s="31"/>
      <c r="I5" s="26"/>
      <c r="J5" s="26"/>
    </row>
    <row r="6">
      <c r="A6" s="32" t="s">
        <v>45</v>
      </c>
      <c r="B6" s="27"/>
      <c r="C6" s="28"/>
      <c r="D6" s="27"/>
      <c r="E6" s="29"/>
      <c r="F6" s="30"/>
      <c r="G6" s="28"/>
      <c r="H6" s="31"/>
      <c r="I6" s="26"/>
      <c r="J6" s="26"/>
    </row>
    <row r="7">
      <c r="A7" s="34" t="s">
        <v>100</v>
      </c>
      <c r="I7" s="26"/>
      <c r="J7" s="26"/>
    </row>
    <row r="8">
      <c r="A8" s="27"/>
      <c r="B8" s="27"/>
      <c r="C8" s="28"/>
      <c r="D8" s="27"/>
      <c r="E8" s="29"/>
      <c r="F8" s="30"/>
      <c r="G8" s="28"/>
      <c r="H8" s="31"/>
      <c r="I8" s="26"/>
      <c r="J8" s="26"/>
    </row>
    <row r="9">
      <c r="A9" s="32" t="s">
        <v>47</v>
      </c>
      <c r="B9" s="27"/>
      <c r="C9" s="28"/>
      <c r="D9" s="27"/>
      <c r="E9" s="29"/>
      <c r="F9" s="30"/>
      <c r="G9" s="28"/>
      <c r="H9" s="31"/>
      <c r="I9" s="26"/>
      <c r="J9" s="26"/>
    </row>
    <row r="10">
      <c r="A10" s="33" t="s">
        <v>44</v>
      </c>
      <c r="I10" s="26"/>
      <c r="J10" s="26"/>
    </row>
    <row r="11">
      <c r="A11" s="33"/>
      <c r="B11" s="33"/>
      <c r="C11" s="33"/>
      <c r="D11" s="33"/>
      <c r="E11" s="33"/>
      <c r="F11" s="35"/>
      <c r="G11" s="33"/>
      <c r="H11" s="33"/>
      <c r="I11" s="26"/>
      <c r="J11" s="26"/>
    </row>
    <row r="12">
      <c r="A12" s="27"/>
      <c r="B12" s="27"/>
      <c r="C12" s="28"/>
      <c r="D12" s="27"/>
      <c r="E12" s="29"/>
      <c r="F12" s="30"/>
      <c r="G12" s="28"/>
      <c r="H12" s="28"/>
      <c r="I12" s="26"/>
      <c r="J12" s="26"/>
    </row>
    <row r="13" ht="22.5" customHeight="1">
      <c r="A13" s="36" t="s">
        <v>48</v>
      </c>
      <c r="B13" s="37" t="s">
        <v>49</v>
      </c>
      <c r="C13" s="36" t="s">
        <v>50</v>
      </c>
      <c r="D13" s="36" t="s">
        <v>51</v>
      </c>
      <c r="E13" s="38" t="s">
        <v>52</v>
      </c>
      <c r="F13" s="39" t="s">
        <v>53</v>
      </c>
      <c r="G13" s="40" t="s">
        <v>54</v>
      </c>
      <c r="H13" s="40" t="s">
        <v>55</v>
      </c>
      <c r="I13" s="37" t="s">
        <v>56</v>
      </c>
    </row>
    <row r="14" ht="22.5" customHeight="1">
      <c r="A14" s="41" t="s">
        <v>57</v>
      </c>
      <c r="B14" s="41" t="s">
        <v>35</v>
      </c>
      <c r="C14" s="42" t="s">
        <v>58</v>
      </c>
      <c r="D14" s="42" t="s">
        <v>59</v>
      </c>
      <c r="E14" s="43" t="s">
        <v>60</v>
      </c>
      <c r="F14" s="44">
        <v>1.5</v>
      </c>
      <c r="G14" s="45">
        <v>100.0</v>
      </c>
      <c r="H14" s="45">
        <f t="shared" ref="H14:H28" si="1">F14*G14</f>
        <v>150</v>
      </c>
      <c r="I14" s="46" t="s">
        <v>61</v>
      </c>
    </row>
    <row r="15" ht="22.5" customHeight="1">
      <c r="A15" s="41" t="s">
        <v>57</v>
      </c>
      <c r="B15" s="47" t="s">
        <v>35</v>
      </c>
      <c r="C15" s="42" t="s">
        <v>62</v>
      </c>
      <c r="D15" s="42" t="s">
        <v>63</v>
      </c>
      <c r="E15" s="48" t="s">
        <v>64</v>
      </c>
      <c r="F15" s="44">
        <v>2.0</v>
      </c>
      <c r="G15" s="45">
        <v>100.0</v>
      </c>
      <c r="H15" s="45">
        <f t="shared" si="1"/>
        <v>200</v>
      </c>
      <c r="I15" s="46" t="s">
        <v>98</v>
      </c>
    </row>
    <row r="16" ht="22.5" customHeight="1">
      <c r="A16" s="41" t="s">
        <v>57</v>
      </c>
      <c r="B16" s="47" t="s">
        <v>66</v>
      </c>
      <c r="C16" s="42" t="s">
        <v>10</v>
      </c>
      <c r="D16" s="42" t="s">
        <v>67</v>
      </c>
      <c r="E16" s="43" t="s">
        <v>68</v>
      </c>
      <c r="F16" s="44">
        <v>3.0</v>
      </c>
      <c r="G16" s="45">
        <v>150.0</v>
      </c>
      <c r="H16" s="45">
        <f t="shared" si="1"/>
        <v>450</v>
      </c>
      <c r="I16" s="46"/>
    </row>
    <row r="17" ht="22.5" customHeight="1">
      <c r="A17" s="41" t="s">
        <v>57</v>
      </c>
      <c r="B17" s="41" t="s">
        <v>35</v>
      </c>
      <c r="C17" s="42" t="s">
        <v>69</v>
      </c>
      <c r="D17" s="42" t="s">
        <v>70</v>
      </c>
      <c r="E17" s="48" t="s">
        <v>64</v>
      </c>
      <c r="F17" s="44">
        <v>2.0</v>
      </c>
      <c r="G17" s="45">
        <v>100.0</v>
      </c>
      <c r="H17" s="45">
        <f t="shared" si="1"/>
        <v>200</v>
      </c>
      <c r="I17" s="46" t="s">
        <v>98</v>
      </c>
    </row>
    <row r="18" ht="22.5" customHeight="1">
      <c r="A18" s="41" t="s">
        <v>71</v>
      </c>
      <c r="B18" s="47" t="s">
        <v>72</v>
      </c>
      <c r="C18" s="42" t="s">
        <v>73</v>
      </c>
      <c r="D18" s="42" t="s">
        <v>101</v>
      </c>
      <c r="E18" s="48" t="s">
        <v>68</v>
      </c>
      <c r="F18" s="44">
        <v>15.0</v>
      </c>
      <c r="G18" s="45">
        <v>150.0</v>
      </c>
      <c r="H18" s="45">
        <f t="shared" si="1"/>
        <v>2250</v>
      </c>
      <c r="I18" s="46"/>
    </row>
    <row r="19" ht="22.5" customHeight="1">
      <c r="A19" s="41" t="s">
        <v>71</v>
      </c>
      <c r="B19" s="47" t="s">
        <v>35</v>
      </c>
      <c r="C19" s="42" t="s">
        <v>75</v>
      </c>
      <c r="D19" s="42" t="s">
        <v>76</v>
      </c>
      <c r="E19" s="48" t="s">
        <v>64</v>
      </c>
      <c r="F19" s="44">
        <v>2.0</v>
      </c>
      <c r="G19" s="45">
        <v>100.0</v>
      </c>
      <c r="H19" s="45">
        <f t="shared" si="1"/>
        <v>200</v>
      </c>
      <c r="I19" s="46" t="s">
        <v>98</v>
      </c>
    </row>
    <row r="20" ht="22.5" customHeight="1">
      <c r="A20" s="41" t="s">
        <v>71</v>
      </c>
      <c r="B20" s="47" t="s">
        <v>72</v>
      </c>
      <c r="C20" s="42" t="s">
        <v>13</v>
      </c>
      <c r="D20" s="42" t="s">
        <v>102</v>
      </c>
      <c r="E20" s="48" t="s">
        <v>103</v>
      </c>
      <c r="F20" s="44">
        <v>45.0</v>
      </c>
      <c r="G20" s="45">
        <v>150.0</v>
      </c>
      <c r="H20" s="45">
        <f t="shared" si="1"/>
        <v>6750</v>
      </c>
      <c r="I20" s="46"/>
    </row>
    <row r="21" ht="22.5" customHeight="1">
      <c r="A21" s="41" t="s">
        <v>71</v>
      </c>
      <c r="B21" s="47" t="s">
        <v>35</v>
      </c>
      <c r="C21" s="42" t="s">
        <v>78</v>
      </c>
      <c r="D21" s="49" t="s">
        <v>79</v>
      </c>
      <c r="E21" s="48" t="s">
        <v>64</v>
      </c>
      <c r="F21" s="44">
        <v>2.0</v>
      </c>
      <c r="G21" s="45">
        <v>100.0</v>
      </c>
      <c r="H21" s="45">
        <f t="shared" si="1"/>
        <v>200</v>
      </c>
      <c r="I21" s="46" t="s">
        <v>98</v>
      </c>
    </row>
    <row r="22" ht="22.5" customHeight="1">
      <c r="A22" s="41" t="s">
        <v>71</v>
      </c>
      <c r="B22" s="47" t="s">
        <v>72</v>
      </c>
      <c r="C22" s="42" t="s">
        <v>25</v>
      </c>
      <c r="D22" s="42" t="s">
        <v>99</v>
      </c>
      <c r="E22" s="48" t="s">
        <v>68</v>
      </c>
      <c r="F22" s="44">
        <v>8.0</v>
      </c>
      <c r="G22" s="45">
        <v>150.0</v>
      </c>
      <c r="H22" s="45">
        <f t="shared" si="1"/>
        <v>1200</v>
      </c>
      <c r="I22" s="46"/>
    </row>
    <row r="23" ht="22.5" customHeight="1">
      <c r="A23" s="41" t="s">
        <v>81</v>
      </c>
      <c r="B23" s="47" t="s">
        <v>72</v>
      </c>
      <c r="C23" s="42" t="s">
        <v>82</v>
      </c>
      <c r="D23" s="42" t="s">
        <v>104</v>
      </c>
      <c r="E23" s="48" t="s">
        <v>84</v>
      </c>
      <c r="F23" s="44">
        <v>4.0</v>
      </c>
      <c r="G23" s="45">
        <v>150.0</v>
      </c>
      <c r="H23" s="45">
        <f t="shared" si="1"/>
        <v>600</v>
      </c>
      <c r="I23" s="46"/>
    </row>
    <row r="24" ht="22.5" customHeight="1">
      <c r="A24" s="41" t="s">
        <v>81</v>
      </c>
      <c r="B24" s="41" t="s">
        <v>72</v>
      </c>
      <c r="C24" s="42" t="s">
        <v>85</v>
      </c>
      <c r="D24" s="42" t="s">
        <v>86</v>
      </c>
      <c r="E24" s="48" t="s">
        <v>84</v>
      </c>
      <c r="F24" s="44">
        <v>1.0</v>
      </c>
      <c r="G24" s="45">
        <v>150.0</v>
      </c>
      <c r="H24" s="45">
        <f t="shared" si="1"/>
        <v>150</v>
      </c>
      <c r="I24" s="46"/>
    </row>
    <row r="25" ht="22.5" customHeight="1">
      <c r="A25" s="41" t="s">
        <v>81</v>
      </c>
      <c r="B25" s="41" t="s">
        <v>72</v>
      </c>
      <c r="C25" s="42" t="s">
        <v>33</v>
      </c>
      <c r="D25" s="42" t="s">
        <v>87</v>
      </c>
      <c r="E25" s="48" t="s">
        <v>84</v>
      </c>
      <c r="F25" s="44">
        <v>1.0</v>
      </c>
      <c r="G25" s="45">
        <v>150.0</v>
      </c>
      <c r="H25" s="45">
        <f t="shared" si="1"/>
        <v>150</v>
      </c>
      <c r="I25" s="46"/>
    </row>
    <row r="26" ht="22.5" customHeight="1">
      <c r="A26" s="41" t="s">
        <v>88</v>
      </c>
      <c r="B26" s="41" t="s">
        <v>35</v>
      </c>
      <c r="C26" s="42" t="s">
        <v>89</v>
      </c>
      <c r="D26" s="42" t="s">
        <v>90</v>
      </c>
      <c r="E26" s="43" t="s">
        <v>91</v>
      </c>
      <c r="F26" s="44">
        <v>15.0</v>
      </c>
      <c r="G26" s="45">
        <v>100.0</v>
      </c>
      <c r="H26" s="45">
        <f t="shared" si="1"/>
        <v>1500</v>
      </c>
      <c r="I26" s="46"/>
    </row>
    <row r="27" ht="22.5" customHeight="1">
      <c r="A27" s="50" t="s">
        <v>88</v>
      </c>
      <c r="B27" s="41" t="s">
        <v>36</v>
      </c>
      <c r="C27" s="42" t="s">
        <v>36</v>
      </c>
      <c r="D27" s="42" t="s">
        <v>92</v>
      </c>
      <c r="E27" s="43" t="s">
        <v>93</v>
      </c>
      <c r="F27" s="74">
        <v>4.0</v>
      </c>
      <c r="G27" s="75">
        <v>100.0</v>
      </c>
      <c r="H27" s="75">
        <f t="shared" si="1"/>
        <v>400</v>
      </c>
      <c r="I27" s="46"/>
    </row>
    <row r="28" ht="22.5" customHeight="1">
      <c r="A28" s="41" t="s">
        <v>88</v>
      </c>
      <c r="B28" s="41" t="s">
        <v>94</v>
      </c>
      <c r="C28" s="42" t="s">
        <v>94</v>
      </c>
      <c r="D28" s="42" t="s">
        <v>44</v>
      </c>
      <c r="E28" s="48"/>
      <c r="F28" s="74">
        <v>0.0</v>
      </c>
      <c r="G28" s="75">
        <v>100.0</v>
      </c>
      <c r="H28" s="75">
        <f t="shared" si="1"/>
        <v>0</v>
      </c>
      <c r="I28" s="46"/>
    </row>
    <row r="29" ht="22.5" customHeight="1">
      <c r="A29" s="53" t="s">
        <v>55</v>
      </c>
      <c r="B29" s="54"/>
      <c r="C29" s="53"/>
      <c r="D29" s="53"/>
      <c r="E29" s="55"/>
      <c r="F29" s="56"/>
      <c r="G29" s="57"/>
      <c r="H29" s="57">
        <f>SUM(Premium[Total])</f>
        <v>14400</v>
      </c>
      <c r="I29" s="54"/>
    </row>
    <row r="30">
      <c r="A30" s="58"/>
      <c r="B30" s="58"/>
      <c r="C30" s="59"/>
      <c r="D30" s="58"/>
      <c r="E30" s="58"/>
      <c r="F30" s="60"/>
      <c r="G30" s="61"/>
      <c r="H30" s="61"/>
      <c r="I30" s="59"/>
      <c r="J30" s="59"/>
    </row>
    <row r="31">
      <c r="A31" s="62"/>
      <c r="B31" s="62"/>
      <c r="C31" s="63"/>
      <c r="D31" s="64"/>
      <c r="E31" s="62"/>
      <c r="F31" s="65"/>
      <c r="G31" s="66"/>
      <c r="H31" s="66"/>
      <c r="I31" s="63"/>
      <c r="J31" s="63"/>
    </row>
    <row r="32">
      <c r="A32" s="67"/>
      <c r="B32" s="67"/>
      <c r="C32" s="26"/>
      <c r="D32" s="15"/>
      <c r="E32" s="68"/>
      <c r="F32" s="69"/>
      <c r="G32" s="70"/>
      <c r="H32" s="70"/>
      <c r="I32" s="26"/>
      <c r="J32" s="26"/>
    </row>
    <row r="33">
      <c r="A33" s="68"/>
      <c r="B33" s="68"/>
      <c r="C33" s="26"/>
      <c r="D33" s="71"/>
      <c r="E33" s="68"/>
      <c r="F33" s="69"/>
      <c r="G33" s="70"/>
      <c r="H33" s="70"/>
      <c r="I33" s="26"/>
      <c r="J33" s="26"/>
    </row>
    <row r="34">
      <c r="A34" s="68"/>
      <c r="B34" s="68"/>
      <c r="C34" s="26"/>
      <c r="D34" s="71"/>
      <c r="E34" s="68"/>
      <c r="F34" s="69"/>
      <c r="G34" s="70"/>
      <c r="H34" s="70"/>
      <c r="I34" s="26"/>
      <c r="J34" s="26"/>
    </row>
    <row r="35">
      <c r="A35" s="67"/>
      <c r="B35" s="67"/>
      <c r="C35" s="26"/>
      <c r="D35" s="15"/>
      <c r="E35" s="68"/>
      <c r="F35" s="69"/>
      <c r="G35" s="70"/>
      <c r="H35" s="70"/>
      <c r="I35" s="26"/>
      <c r="J35" s="26"/>
    </row>
    <row r="36">
      <c r="A36" s="67"/>
      <c r="B36" s="67"/>
      <c r="C36" s="26"/>
      <c r="D36" s="15"/>
      <c r="E36" s="68"/>
      <c r="F36" s="69"/>
      <c r="G36" s="70"/>
      <c r="H36" s="70"/>
      <c r="I36" s="26"/>
      <c r="J36" s="26"/>
    </row>
    <row r="37">
      <c r="A37" s="67"/>
      <c r="B37" s="67"/>
      <c r="C37" s="26"/>
      <c r="D37" s="15"/>
      <c r="E37" s="68"/>
      <c r="F37" s="69"/>
      <c r="G37" s="70"/>
      <c r="H37" s="70"/>
      <c r="I37" s="26"/>
      <c r="J37" s="26"/>
    </row>
    <row r="38">
      <c r="A38" s="67"/>
      <c r="B38" s="67"/>
      <c r="C38" s="26"/>
      <c r="D38" s="15"/>
      <c r="E38" s="68"/>
      <c r="F38" s="69"/>
      <c r="G38" s="70"/>
      <c r="H38" s="70"/>
      <c r="I38" s="26"/>
      <c r="J38" s="26"/>
    </row>
    <row r="39">
      <c r="A39" s="72"/>
      <c r="B39" s="72"/>
      <c r="C39" s="26"/>
      <c r="D39" s="73"/>
      <c r="E39" s="68"/>
      <c r="F39" s="69"/>
      <c r="G39" s="70"/>
      <c r="H39" s="70"/>
      <c r="I39" s="26"/>
      <c r="J39" s="26"/>
    </row>
    <row r="40">
      <c r="A40" s="67"/>
      <c r="B40" s="67"/>
      <c r="C40" s="26"/>
      <c r="D40" s="15"/>
      <c r="E40" s="68"/>
      <c r="F40" s="69"/>
      <c r="G40" s="70"/>
      <c r="H40" s="70"/>
      <c r="I40" s="26"/>
      <c r="J40" s="26"/>
    </row>
    <row r="41">
      <c r="A41" s="67"/>
      <c r="B41" s="67"/>
      <c r="C41" s="26"/>
      <c r="D41" s="15"/>
      <c r="E41" s="68"/>
      <c r="F41" s="69"/>
      <c r="G41" s="70"/>
      <c r="H41" s="70"/>
      <c r="I41" s="26"/>
      <c r="J41" s="26"/>
    </row>
    <row r="42">
      <c r="A42" s="67"/>
      <c r="B42" s="67"/>
      <c r="C42" s="26"/>
      <c r="D42" s="15"/>
      <c r="E42" s="68"/>
      <c r="F42" s="69"/>
      <c r="G42" s="70"/>
      <c r="H42" s="70"/>
      <c r="I42" s="26"/>
      <c r="J42" s="26"/>
    </row>
    <row r="43">
      <c r="A43" s="68"/>
      <c r="B43" s="68"/>
      <c r="C43" s="26"/>
      <c r="D43" s="68"/>
      <c r="E43" s="68"/>
      <c r="F43" s="69"/>
      <c r="G43" s="70"/>
      <c r="H43" s="70"/>
      <c r="I43" s="26"/>
      <c r="J43" s="26"/>
    </row>
    <row r="44">
      <c r="A44" s="68"/>
      <c r="B44" s="68"/>
      <c r="C44" s="26"/>
      <c r="D44" s="68"/>
      <c r="E44" s="68"/>
      <c r="F44" s="69"/>
      <c r="G44" s="70"/>
      <c r="H44" s="70"/>
      <c r="I44" s="26"/>
      <c r="J44" s="26"/>
    </row>
    <row r="45">
      <c r="A45" s="68"/>
      <c r="B45" s="68"/>
      <c r="C45" s="26"/>
      <c r="D45" s="68"/>
      <c r="E45" s="68"/>
      <c r="F45" s="69"/>
      <c r="G45" s="70"/>
      <c r="H45" s="70"/>
      <c r="I45" s="26"/>
      <c r="J45" s="26"/>
    </row>
    <row r="46">
      <c r="A46" s="68"/>
      <c r="B46" s="68"/>
      <c r="C46" s="26"/>
      <c r="D46" s="68"/>
      <c r="E46" s="68"/>
      <c r="F46" s="69"/>
      <c r="G46" s="70"/>
      <c r="H46" s="70"/>
      <c r="I46" s="26"/>
      <c r="J46" s="26"/>
    </row>
    <row r="47">
      <c r="A47" s="68"/>
      <c r="B47" s="68"/>
      <c r="C47" s="26"/>
      <c r="D47" s="68"/>
      <c r="E47" s="68"/>
      <c r="F47" s="69"/>
      <c r="G47" s="70"/>
      <c r="H47" s="70"/>
      <c r="I47" s="26"/>
      <c r="J47" s="26"/>
    </row>
  </sheetData>
  <customSheetViews>
    <customSheetView guid="{2050A15C-0619-426F-B892-FED4CD0E1579}" filter="1" showAutoFilter="1">
      <autoFilter ref="$A$13:$I$29"/>
    </customSheetView>
  </customSheetViews>
  <mergeCells count="4">
    <mergeCell ref="A1:H1"/>
    <mergeCell ref="A4:H4"/>
    <mergeCell ref="A7:H7"/>
    <mergeCell ref="A10:H10"/>
  </mergeCells>
  <dataValidations>
    <dataValidation type="list" allowBlank="1" sqref="E14:E28">
      <formula1>"Nick,Deb,Daniel,Kellie,Cassidy,Amy,Alli,Devon,Emily,Account Manager"</formula1>
    </dataValidation>
    <dataValidation type="list" allowBlank="1" sqref="A14:A28">
      <formula1>"1. Project Kickoff,2. Brand Design,3. Brand Message,4. Final Deliverables,5. General"</formula1>
    </dataValidation>
    <dataValidation type="custom" allowBlank="1" showDropDown="1" sqref="G14:H28">
      <formula1>AND(ISNUMBER(G14),(NOT(OR(NOT(ISERROR(DATEVALUE(G14))), AND(ISNUMBER(G14), LEFT(CELL("format", G14))="D")))))</formula1>
    </dataValidation>
    <dataValidation type="list" allowBlank="1" sqref="B14:B28">
      <formula1>"Account Service,Copywriting,Creative Design,Creative Direction,Marketing Coordination,Production Management,Formulating New Business"</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52.38"/>
    <col customWidth="1" min="3" max="3" width="13.13"/>
  </cols>
  <sheetData>
    <row r="1" ht="22.5" customHeight="1">
      <c r="A1" s="76" t="s">
        <v>105</v>
      </c>
      <c r="B1" s="76" t="s">
        <v>51</v>
      </c>
      <c r="C1" s="77" t="s">
        <v>53</v>
      </c>
      <c r="D1" s="78" t="s">
        <v>54</v>
      </c>
      <c r="E1" s="78" t="s">
        <v>55</v>
      </c>
    </row>
    <row r="2" ht="22.5" customHeight="1">
      <c r="A2" s="79" t="s">
        <v>106</v>
      </c>
      <c r="B2" s="80" t="s">
        <v>107</v>
      </c>
      <c r="C2" s="81">
        <v>4.0</v>
      </c>
      <c r="D2" s="82">
        <v>150.0</v>
      </c>
      <c r="E2" s="83">
        <f t="shared" ref="E2:E3" si="1">C2*D2</f>
        <v>600</v>
      </c>
    </row>
    <row r="3" ht="22.5" customHeight="1">
      <c r="A3" s="79" t="s">
        <v>108</v>
      </c>
      <c r="B3" s="80" t="s">
        <v>109</v>
      </c>
      <c r="C3" s="81">
        <v>15.0</v>
      </c>
      <c r="D3" s="82">
        <v>150.0</v>
      </c>
      <c r="E3" s="83">
        <f t="shared" si="1"/>
        <v>2250</v>
      </c>
    </row>
    <row r="4" ht="22.5" customHeight="1">
      <c r="A4" s="79" t="s">
        <v>110</v>
      </c>
      <c r="B4" s="80" t="s">
        <v>111</v>
      </c>
      <c r="C4" s="81">
        <v>10.0</v>
      </c>
      <c r="D4" s="83">
        <v>150.0</v>
      </c>
      <c r="E4" s="84">
        <v>1500.0</v>
      </c>
    </row>
    <row r="5" ht="22.5" customHeight="1">
      <c r="A5" s="79" t="s">
        <v>66</v>
      </c>
      <c r="B5" s="80" t="s">
        <v>112</v>
      </c>
      <c r="C5" s="81">
        <v>5.0</v>
      </c>
      <c r="D5" s="82">
        <v>150.0</v>
      </c>
      <c r="E5" s="83">
        <f t="shared" ref="E5:E7" si="2">C5*D5</f>
        <v>750</v>
      </c>
    </row>
    <row r="6" ht="22.5" customHeight="1">
      <c r="A6" s="79" t="s">
        <v>113</v>
      </c>
      <c r="B6" s="80" t="s">
        <v>114</v>
      </c>
      <c r="C6" s="81">
        <v>0.0</v>
      </c>
      <c r="D6" s="82">
        <v>150.0</v>
      </c>
      <c r="E6" s="83">
        <f t="shared" si="2"/>
        <v>0</v>
      </c>
    </row>
    <row r="7" ht="22.5" customHeight="1">
      <c r="A7" s="79" t="s">
        <v>115</v>
      </c>
      <c r="B7" s="80" t="s">
        <v>116</v>
      </c>
      <c r="C7" s="81">
        <v>2.0</v>
      </c>
      <c r="D7" s="82">
        <v>100.0</v>
      </c>
      <c r="E7" s="83">
        <f t="shared" si="2"/>
        <v>200</v>
      </c>
    </row>
    <row r="8">
      <c r="A8" s="85"/>
      <c r="B8" s="86"/>
      <c r="C8" s="87"/>
      <c r="D8" s="87"/>
      <c r="E8" s="87"/>
    </row>
    <row r="9">
      <c r="A9" s="85"/>
      <c r="B9" s="86"/>
      <c r="C9" s="87"/>
      <c r="D9" s="87"/>
      <c r="E9" s="87"/>
    </row>
    <row r="10">
      <c r="A10" s="85"/>
      <c r="B10" s="86"/>
      <c r="C10" s="87"/>
      <c r="D10" s="87"/>
      <c r="E10" s="87"/>
    </row>
    <row r="11">
      <c r="A11" s="85"/>
      <c r="B11" s="86"/>
      <c r="C11" s="87"/>
      <c r="D11" s="87"/>
      <c r="E11" s="87"/>
    </row>
    <row r="12" ht="22.5" customHeight="1">
      <c r="A12" s="76" t="s">
        <v>105</v>
      </c>
      <c r="B12" s="76" t="s">
        <v>51</v>
      </c>
      <c r="C12" s="77" t="s">
        <v>53</v>
      </c>
      <c r="D12" s="78" t="s">
        <v>54</v>
      </c>
      <c r="E12" s="78" t="s">
        <v>55</v>
      </c>
    </row>
    <row r="13" ht="22.5" customHeight="1">
      <c r="A13" s="88"/>
      <c r="B13" s="89"/>
      <c r="C13" s="90"/>
      <c r="D13" s="91"/>
      <c r="E13" s="92">
        <f t="shared" ref="E13:E15" si="3">C13*D13</f>
        <v>0</v>
      </c>
    </row>
    <row r="14" ht="22.5" customHeight="1">
      <c r="A14" s="88" t="s">
        <v>117</v>
      </c>
      <c r="B14" s="89" t="s">
        <v>118</v>
      </c>
      <c r="C14" s="90">
        <v>0.0</v>
      </c>
      <c r="D14" s="91">
        <v>150.0</v>
      </c>
      <c r="E14" s="92">
        <f t="shared" si="3"/>
        <v>0</v>
      </c>
    </row>
    <row r="15" ht="22.5" customHeight="1">
      <c r="A15" s="88" t="s">
        <v>119</v>
      </c>
      <c r="B15" s="89" t="s">
        <v>120</v>
      </c>
      <c r="C15" s="90">
        <v>0.0</v>
      </c>
      <c r="D15" s="91">
        <v>150.0</v>
      </c>
      <c r="E15" s="92">
        <f t="shared" si="3"/>
        <v>0</v>
      </c>
    </row>
    <row r="16">
      <c r="A16" s="85"/>
      <c r="B16" s="86"/>
      <c r="C16" s="87"/>
      <c r="D16" s="87"/>
      <c r="E16" s="87"/>
    </row>
    <row r="17">
      <c r="A17" s="85"/>
      <c r="B17" s="86"/>
      <c r="C17" s="87"/>
      <c r="D17" s="87"/>
      <c r="E17" s="87"/>
    </row>
    <row r="18">
      <c r="A18" s="85"/>
      <c r="B18" s="86"/>
      <c r="C18" s="87"/>
      <c r="D18" s="87"/>
      <c r="E18" s="87"/>
    </row>
  </sheetData>
  <dataValidations>
    <dataValidation type="custom" allowBlank="1" showDropDown="1" sqref="C2:D7 C13:D15">
      <formula1>AND(ISNUMBER(C2),(NOT(OR(NOT(ISERROR(DATEVALUE(C2))), AND(ISNUMBER(C2), LEFT(CELL("format", C2))="D")))))</formula1>
    </dataValidation>
  </dataValidations>
  <drawing r:id="rId1"/>
  <tableParts count="2">
    <tablePart r:id="rId4"/>
    <tablePart r:id="rId5"/>
  </tableParts>
</worksheet>
</file>