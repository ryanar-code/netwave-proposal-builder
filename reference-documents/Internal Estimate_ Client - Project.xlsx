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timates" sheetId="1" r:id="rId5"/>
    <sheet state="visible" name="Netwave Service Rates" sheetId="2" r:id="rId6"/>
    <sheet state="visible" name="Email Marketing " sheetId="3" r:id="rId7"/>
    <sheet state="visible" name="Standard Creative Estimates" sheetId="4" r:id="rId8"/>
  </sheets>
  <definedNames/>
  <calcPr/>
</workbook>
</file>

<file path=xl/sharedStrings.xml><?xml version="1.0" encoding="utf-8"?>
<sst xmlns="http://schemas.openxmlformats.org/spreadsheetml/2006/main" count="194" uniqueCount="123">
  <si>
    <t>Internal Estimate</t>
  </si>
  <si>
    <t>Client:</t>
  </si>
  <si>
    <t>TBD</t>
  </si>
  <si>
    <t>Project:</t>
  </si>
  <si>
    <t>Date Estimated:</t>
  </si>
  <si>
    <t>Phase</t>
  </si>
  <si>
    <t xml:space="preserve">Activity </t>
  </si>
  <si>
    <t>Scope of Work</t>
  </si>
  <si>
    <t>Description</t>
  </si>
  <si>
    <t>Team</t>
  </si>
  <si>
    <t>Hours</t>
  </si>
  <si>
    <t>Rate</t>
  </si>
  <si>
    <t>Total</t>
  </si>
  <si>
    <t>Notes</t>
  </si>
  <si>
    <t>Account Service</t>
  </si>
  <si>
    <t>Internal Project Kickoff</t>
  </si>
  <si>
    <t xml:space="preserve">Time allocated for the internal team to align on project objectives, deliverables, timelines, and roles before beginning work. </t>
  </si>
  <si>
    <t>This should include Kellie, the account manager and the web team. This call should be limited to 30 or 45 minutes depending on the scope.</t>
  </si>
  <si>
    <t>Consulting</t>
  </si>
  <si>
    <t>Creative Design</t>
  </si>
  <si>
    <t>Website Design</t>
  </si>
  <si>
    <t>Website Development</t>
  </si>
  <si>
    <t>Photography</t>
  </si>
  <si>
    <t>Photography Assistant</t>
  </si>
  <si>
    <t>Copywriting</t>
  </si>
  <si>
    <t>Email Blasts</t>
  </si>
  <si>
    <t>Social Media</t>
  </si>
  <si>
    <t>SEO</t>
  </si>
  <si>
    <t>Creative Direction</t>
  </si>
  <si>
    <t>Oversight of the creative vision and execution to ensure consistency across all marketing touchpoints.</t>
  </si>
  <si>
    <t>Day-to-day communication, project coordination, and client relationship management.</t>
  </si>
  <si>
    <t>Strategic Planning</t>
  </si>
  <si>
    <t>High-level planning and strategic oversight to align marketing efforts with client business goals, budgets, and performance objectives. This includes ongoing analysis, prioritization of initiatives, proactive recommendations, and guidance to ensure all tactics are working together effectively.</t>
  </si>
  <si>
    <t>Production Management</t>
  </si>
  <si>
    <t>Coordination of deliverables, vendors, and timelines to ensure smooth execution of projects.</t>
  </si>
  <si>
    <t xml:space="preserve">Marketing Coordinator </t>
  </si>
  <si>
    <t>Execution and support of marketing initiatives, including campaign setup, content scheduling, asset organization, and cross-team coordination to ensure timely and accurate delivery.</t>
  </si>
  <si>
    <t>Formulating New Business</t>
  </si>
  <si>
    <t>Project Total</t>
  </si>
  <si>
    <t>Notes:</t>
  </si>
  <si>
    <t>Services</t>
  </si>
  <si>
    <t>Default Description</t>
  </si>
  <si>
    <t>Strategic guidance and recommendations to shape marketing direction, campaigns, and overall business growth.</t>
  </si>
  <si>
    <t>Development of visual concepts and graphic assets to support marketing initiatives and campaigns.</t>
  </si>
  <si>
    <t>Planning and designing the look, feel, and user experience of a website to align with brand and business goals.</t>
  </si>
  <si>
    <t>Building and coding functional websites, including custom features, integrations, and responsive layouts.</t>
  </si>
  <si>
    <t>Professional photography services to capture branded imagery for use across digital and print platforms.</t>
  </si>
  <si>
    <t>On-site support for photography sessions, including setup, staging, and production assistance.</t>
  </si>
  <si>
    <t>Writing persuasive, clear, and brand-aligned content for websites, ads, campaigns, and collateral.</t>
  </si>
  <si>
    <t>Email Marketing</t>
  </si>
  <si>
    <t>Design, development, and deployment of email campaigns to targeted audiences.</t>
  </si>
  <si>
    <t>Content creation, posting, and campaign management across social platforms.</t>
  </si>
  <si>
    <t>Optimization of website structure, content, and keywords to improve visibility and search engine rankings.</t>
  </si>
  <si>
    <t>Account Management</t>
  </si>
  <si>
    <t>Account Strategy</t>
  </si>
  <si>
    <t>Identifying opportunities, creating proposals, and developing strategies to secure new client work. (MM/DD/YY - MM/DD/YY)</t>
  </si>
  <si>
    <t>Vendor Rates and Markups:</t>
  </si>
  <si>
    <t>Standard Vendor and Media Markups</t>
  </si>
  <si>
    <t>Item</t>
  </si>
  <si>
    <t>Service</t>
  </si>
  <si>
    <t>Notes / Explanations</t>
  </si>
  <si>
    <t>Email Blast Template</t>
  </si>
  <si>
    <t>Template Design</t>
  </si>
  <si>
    <t>Creation of a master email template to be used as the standard for all future email blasts.</t>
  </si>
  <si>
    <t>Erin</t>
  </si>
  <si>
    <t xml:space="preserve">Revisions </t>
  </si>
  <si>
    <t>1 round of revisions to template design</t>
  </si>
  <si>
    <t xml:space="preserve">Ongoing Services </t>
  </si>
  <si>
    <t>Ongoing Blast Design - Long Format</t>
  </si>
  <si>
    <t xml:space="preserve">Design per blast </t>
  </si>
  <si>
    <t xml:space="preserve">Ongoing Blast Design - Short Format </t>
  </si>
  <si>
    <t xml:space="preserve">Reporting </t>
  </si>
  <si>
    <t>Blast Performance Report</t>
  </si>
  <si>
    <t>Gathering performance metrics for each email blast to analyze its effectiveness.</t>
  </si>
  <si>
    <t>End of Year Performance Report</t>
  </si>
  <si>
    <t>A comprehensive year-end report analyzing the effectiveness of each email blast, offering key insights and strategic recommendations for improvement.</t>
  </si>
  <si>
    <t>MailChimp Account Setup</t>
  </si>
  <si>
    <t>Setup of MailChimp Account</t>
  </si>
  <si>
    <t xml:space="preserve">Setup of MailChimp account, includes </t>
  </si>
  <si>
    <t xml:space="preserve">MailChimp Standard Plan - Option 1 </t>
  </si>
  <si>
    <t xml:space="preserve">1,500 Contacts </t>
  </si>
  <si>
    <t xml:space="preserve">Cost per month </t>
  </si>
  <si>
    <t xml:space="preserve">MailChimp Standard Plan - Option 2 </t>
  </si>
  <si>
    <t xml:space="preserve">2,500 contacts </t>
  </si>
  <si>
    <t xml:space="preserve">MailChimp Standard Plan - Option 3 </t>
  </si>
  <si>
    <t xml:space="preserve">10,000 contacts </t>
  </si>
  <si>
    <t>Client will need to provide email for MailChimp setup verification.
Client must provide an email address to be used as the sender.</t>
  </si>
  <si>
    <t>Client must provide domain name access to verify.</t>
  </si>
  <si>
    <t xml:space="preserve">Client can also provide their credit card then we will not need to markup the MC monthly costs..
MailChimp only allows accounts to be paused 2 times in year, you can only pause for 3 months or 6 months. </t>
  </si>
  <si>
    <t>Print Design</t>
  </si>
  <si>
    <t>Flyer Design</t>
  </si>
  <si>
    <t>Creation of a standard 8.5 x 11 flyer (one-sided)</t>
  </si>
  <si>
    <t xml:space="preserve">Estimate includes 2-3 design options, minor revisions, and a multiple image options. </t>
  </si>
  <si>
    <t xml:space="preserve">Direct Mailer </t>
  </si>
  <si>
    <t xml:space="preserve">Design of a double sided, direct mailer </t>
  </si>
  <si>
    <t>Estimate is for a standard 6x9, double-sided postcard, and includes minor revisions.</t>
  </si>
  <si>
    <t>Print Ad Design</t>
  </si>
  <si>
    <t>Creation of a visually compelling and strategically designed print ad.</t>
  </si>
  <si>
    <t>Print Ad Resize</t>
  </si>
  <si>
    <t>Resizing an existing print ad to fit different specifications.</t>
  </si>
  <si>
    <t>Estimate is 1 hour per ad resize.</t>
  </si>
  <si>
    <t xml:space="preserve">Bank Materials </t>
  </si>
  <si>
    <t>Statement Message Graphic</t>
  </si>
  <si>
    <t>TAD</t>
  </si>
  <si>
    <t>Stuffer</t>
  </si>
  <si>
    <t xml:space="preserve">Zero-In Digital Screen </t>
  </si>
  <si>
    <t>Estimate does not include animating.</t>
  </si>
  <si>
    <t xml:space="preserve">Outdoor </t>
  </si>
  <si>
    <t>Billboard Design</t>
  </si>
  <si>
    <t xml:space="preserve">Billboard Resize </t>
  </si>
  <si>
    <t>Truck Magnet</t>
  </si>
  <si>
    <t xml:space="preserve">Job Signange </t>
  </si>
  <si>
    <t xml:space="preserve">Social </t>
  </si>
  <si>
    <t>Static Social Graphic</t>
  </si>
  <si>
    <t>Animated Social Graphic</t>
  </si>
  <si>
    <t xml:space="preserve">Social Carousel </t>
  </si>
  <si>
    <t xml:space="preserve">Website / Digtial </t>
  </si>
  <si>
    <t xml:space="preserve">Landing Page Creation </t>
  </si>
  <si>
    <t>Basic landing page layoutt (adding forms, or specific styling will need to be estimated)</t>
  </si>
  <si>
    <t xml:space="preserve">Slider </t>
  </si>
  <si>
    <t>Banner Ads (4 standard sizes)</t>
  </si>
  <si>
    <t>Translation Functionailty</t>
  </si>
  <si>
    <t xml:space="preserve">Adding second language function to a website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</si>
</sst>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13">
    <font>
      <sz val="10.0"/>
      <color rgb="FF000000"/>
      <name val="Arial"/>
      <scheme val="minor"/>
    </font>
    <font>
      <b/>
      <sz val="36.0"/>
      <color theme="1"/>
      <name val="DM Sans"/>
    </font>
    <font>
      <color theme="1"/>
      <name val="Arial"/>
    </font>
    <font>
      <b/>
      <sz val="11.0"/>
      <color theme="1"/>
      <name val="DM Sans"/>
    </font>
    <font>
      <sz val="11.0"/>
      <color theme="1"/>
      <name val="DM Sans"/>
    </font>
    <font>
      <b/>
      <sz val="9.0"/>
      <color theme="1"/>
      <name val="DM Sans"/>
    </font>
    <font>
      <sz val="9.0"/>
      <color rgb="FF000000"/>
      <name val="DM Sans"/>
    </font>
    <font>
      <sz val="9.0"/>
      <color theme="1"/>
      <name val="DM Sans"/>
    </font>
    <font>
      <sz val="9.0"/>
      <color rgb="FF434343"/>
      <name val="DM Sans"/>
    </font>
    <font>
      <b/>
      <sz val="9.0"/>
      <color rgb="FF000000"/>
      <name val="DM Sans"/>
    </font>
    <font>
      <b/>
      <sz val="9.0"/>
      <color rgb="FF6E7C80"/>
      <name val="DM Sans"/>
    </font>
    <font>
      <u/>
      <sz val="9.0"/>
      <color rgb="FF00E2FF"/>
      <name val="DM Sans"/>
    </font>
    <font>
      <sz val="9.0"/>
      <color theme="1"/>
      <name val="Arial"/>
    </font>
  </fonts>
  <fills count="6">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F1F1F5"/>
        <bgColor rgb="FFF1F1F5"/>
      </patternFill>
    </fill>
    <fill>
      <patternFill patternType="solid">
        <fgColor rgb="FF00E2FF"/>
        <bgColor rgb="FF00E2FF"/>
      </patternFill>
    </fill>
  </fills>
  <borders count="6">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00AABF"/>
      </left>
      <right style="thin">
        <color rgb="FF00E2FF"/>
      </right>
      <top style="thin">
        <color rgb="FF00E2FF"/>
      </top>
      <bottom style="thin">
        <color rgb="FF00E2FF"/>
      </bottom>
    </border>
    <border>
      <left style="thin">
        <color rgb="FF00E2FF"/>
      </left>
      <right style="thin">
        <color rgb="FF00E2FF"/>
      </right>
      <top style="thin">
        <color rgb="FF00E2FF"/>
      </top>
      <bottom style="thin">
        <color rgb="FF00E2FF"/>
      </bottom>
    </border>
    <border>
      <left style="thin">
        <color rgb="FF00E2FF"/>
      </left>
      <right style="thin">
        <color rgb="FF00AABF"/>
      </right>
      <top style="thin">
        <color rgb="FF00E2FF"/>
      </top>
      <bottom style="thin">
        <color rgb="FF00E2FF"/>
      </bottom>
    </border>
  </borders>
  <cellStyleXfs count="1">
    <xf borderId="0" fillId="0" fontId="0" numFmtId="0" applyAlignment="1" applyFont="1"/>
  </cellStyleXfs>
  <cellXfs count="96">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2" numFmtId="0" xfId="0" applyAlignment="1" applyFont="1">
      <alignment vertical="center"/>
    </xf>
    <xf borderId="0" fillId="0" fontId="2" numFmtId="0" xfId="0" applyAlignment="1" applyFont="1">
      <alignment vertical="center"/>
    </xf>
    <xf borderId="0" fillId="0" fontId="3" numFmtId="0" xfId="0" applyAlignment="1" applyFont="1">
      <alignment shrinkToFit="0" vertical="center" wrapText="1"/>
    </xf>
    <xf borderId="0" fillId="0" fontId="4" numFmtId="0" xfId="0" applyAlignment="1" applyFont="1">
      <alignment shrinkToFit="0" vertical="center" wrapText="1"/>
    </xf>
    <xf borderId="0" fillId="0" fontId="2" numFmtId="164" xfId="0" applyAlignment="1" applyFont="1" applyNumberFormat="1">
      <alignment vertical="center"/>
    </xf>
    <xf borderId="0" fillId="0" fontId="4" numFmtId="0" xfId="0" applyFont="1"/>
    <xf borderId="0" fillId="0" fontId="4" numFmtId="0" xfId="0" applyAlignment="1" applyFont="1">
      <alignment horizontal="left" readingOrder="0" vertical="center"/>
    </xf>
    <xf borderId="0" fillId="0" fontId="4" numFmtId="0" xfId="0" applyAlignment="1" applyFont="1">
      <alignment horizontal="center" readingOrder="0" vertical="center"/>
    </xf>
    <xf borderId="0" fillId="0" fontId="5" numFmtId="0" xfId="0" applyAlignment="1" applyFont="1">
      <alignment horizontal="left" readingOrder="0" shrinkToFit="0" vertical="center" wrapText="0"/>
    </xf>
    <xf borderId="0" fillId="0" fontId="5" numFmtId="49" xfId="0" applyAlignment="1" applyFont="1" applyNumberFormat="1">
      <alignment horizontal="left" readingOrder="0" shrinkToFit="0" vertical="center" wrapText="1"/>
    </xf>
    <xf borderId="0" fillId="0" fontId="5" numFmtId="0" xfId="0" applyAlignment="1" applyFont="1">
      <alignment horizontal="left" readingOrder="0" shrinkToFit="0" vertical="center" wrapText="1"/>
    </xf>
    <xf borderId="0" fillId="0" fontId="5" numFmtId="0" xfId="0" applyAlignment="1" applyFont="1">
      <alignment horizontal="center" readingOrder="0" shrinkToFit="0" vertical="center" wrapText="0"/>
    </xf>
    <xf borderId="0" fillId="0" fontId="5" numFmtId="0" xfId="0" applyAlignment="1" applyFont="1">
      <alignment horizontal="center" readingOrder="0" shrinkToFit="0" vertical="center" wrapText="1"/>
    </xf>
    <xf borderId="0" fillId="0" fontId="6" numFmtId="0" xfId="0" applyAlignment="1" applyFont="1">
      <alignment readingOrder="0" shrinkToFit="0" vertical="center" wrapText="0"/>
    </xf>
    <xf borderId="0" fillId="0" fontId="6" numFmtId="0" xfId="0" applyAlignment="1" applyFont="1">
      <alignment readingOrder="0" shrinkToFit="0" vertical="center" wrapText="0"/>
    </xf>
    <xf borderId="0" fillId="0" fontId="7" numFmtId="0" xfId="0" applyAlignment="1" applyFont="1">
      <alignment readingOrder="0" shrinkToFit="0" vertical="center" wrapText="1"/>
    </xf>
    <xf borderId="0" fillId="0" fontId="6" numFmtId="0" xfId="0" applyAlignment="1" applyFont="1">
      <alignment horizontal="center" readingOrder="0" shrinkToFit="0" vertical="center" wrapText="0"/>
    </xf>
    <xf borderId="0" fillId="0" fontId="6" numFmtId="164" xfId="0" applyAlignment="1" applyFont="1" applyNumberFormat="1">
      <alignment horizontal="center" readingOrder="0" shrinkToFit="0" vertical="center" wrapText="0"/>
    </xf>
    <xf borderId="0" fillId="0" fontId="8" numFmtId="164" xfId="0" applyAlignment="1" applyFont="1" applyNumberFormat="1">
      <alignment horizontal="left" readingOrder="0" shrinkToFit="0" vertical="center" wrapText="1"/>
    </xf>
    <xf borderId="1" fillId="2" fontId="8" numFmtId="0" xfId="0" applyAlignment="1" applyBorder="1" applyFill="1" applyFont="1">
      <alignment shrinkToFit="0" vertical="center" wrapText="1"/>
    </xf>
    <xf borderId="0" fillId="0" fontId="6" numFmtId="0" xfId="0" applyAlignment="1" applyFont="1">
      <alignment readingOrder="0" shrinkToFit="0" vertical="center" wrapText="1"/>
    </xf>
    <xf borderId="2" fillId="3" fontId="8" numFmtId="0" xfId="0" applyAlignment="1" applyBorder="1" applyFill="1" applyFont="1">
      <alignment shrinkToFit="0" vertical="center" wrapText="1"/>
    </xf>
    <xf borderId="0" fillId="0" fontId="6" numFmtId="0" xfId="0" applyAlignment="1" applyFont="1">
      <alignment shrinkToFit="0" vertical="center" wrapText="0"/>
    </xf>
    <xf borderId="0" fillId="0" fontId="6" numFmtId="0" xfId="0" applyAlignment="1" applyFont="1">
      <alignment readingOrder="0" shrinkToFit="0" vertical="center" wrapText="0"/>
    </xf>
    <xf borderId="0" fillId="0" fontId="6" numFmtId="0" xfId="0" applyAlignment="1" applyFont="1">
      <alignment readingOrder="0" shrinkToFit="0" vertical="center" wrapText="1"/>
    </xf>
    <xf borderId="0" fillId="0" fontId="6" numFmtId="0" xfId="0" applyAlignment="1" applyFont="1">
      <alignment readingOrder="0" shrinkToFit="0" vertical="center" wrapText="0"/>
    </xf>
    <xf borderId="0" fillId="0" fontId="6" numFmtId="0" xfId="0" applyAlignment="1" applyFont="1">
      <alignment horizontal="center" readingOrder="0" shrinkToFit="0" vertical="center" wrapText="0"/>
    </xf>
    <xf borderId="0" fillId="0" fontId="6" numFmtId="164" xfId="0" applyAlignment="1" applyFont="1" applyNumberFormat="1">
      <alignment horizontal="center" readingOrder="0" shrinkToFit="0" vertical="center" wrapText="0"/>
    </xf>
    <xf borderId="0" fillId="0" fontId="4" numFmtId="0" xfId="0" applyAlignment="1" applyFont="1">
      <alignment vertical="center"/>
    </xf>
    <xf borderId="0" fillId="0" fontId="4" numFmtId="0" xfId="0" applyAlignment="1" applyFont="1">
      <alignment shrinkToFit="0" vertical="center" wrapText="1"/>
    </xf>
    <xf borderId="0" fillId="0" fontId="4" numFmtId="0" xfId="0" applyAlignment="1" applyFont="1">
      <alignment horizontal="center" vertical="center"/>
    </xf>
    <xf borderId="0" fillId="4" fontId="3" numFmtId="0" xfId="0" applyAlignment="1" applyFill="1" applyFont="1">
      <alignment shrinkToFit="0" wrapText="1"/>
    </xf>
    <xf borderId="0" fillId="4" fontId="4" numFmtId="0" xfId="0" applyAlignment="1" applyFont="1">
      <alignment shrinkToFit="0" wrapText="1"/>
    </xf>
    <xf borderId="0" fillId="4" fontId="2" numFmtId="0" xfId="0" applyFont="1"/>
    <xf borderId="0" fillId="4" fontId="2" numFmtId="0" xfId="0" applyFont="1"/>
    <xf borderId="0" fillId="4" fontId="5" numFmtId="0" xfId="0" applyAlignment="1" applyFont="1">
      <alignment readingOrder="0" shrinkToFit="0" vertical="center" wrapText="1"/>
    </xf>
    <xf borderId="0" fillId="4" fontId="5" numFmtId="164" xfId="0" applyAlignment="1" applyFont="1" applyNumberFormat="1">
      <alignment horizontal="center" readingOrder="0" shrinkToFit="0" vertical="center" wrapText="1"/>
    </xf>
    <xf borderId="0" fillId="0" fontId="9" numFmtId="0" xfId="0" applyAlignment="1" applyFont="1">
      <alignment readingOrder="0" shrinkToFit="0" vertical="center" wrapText="1"/>
    </xf>
    <xf borderId="0" fillId="0" fontId="6" numFmtId="0" xfId="0" applyAlignment="1" applyFont="1">
      <alignment readingOrder="0" shrinkToFit="0" vertical="center" wrapText="1"/>
    </xf>
    <xf borderId="0" fillId="0" fontId="6" numFmtId="164" xfId="0" applyAlignment="1" applyFont="1" applyNumberFormat="1">
      <alignment horizontal="center" readingOrder="0" shrinkToFit="0" vertical="center" wrapText="1"/>
    </xf>
    <xf borderId="0" fillId="0" fontId="6" numFmtId="0" xfId="0" applyAlignment="1" applyFont="1">
      <alignment shrinkToFit="0" vertical="center" wrapText="1"/>
    </xf>
    <xf borderId="0" fillId="0" fontId="6" numFmtId="164" xfId="0" applyAlignment="1" applyFont="1" applyNumberFormat="1">
      <alignment shrinkToFit="0" vertical="center" wrapText="1"/>
    </xf>
    <xf borderId="0" fillId="0" fontId="10" numFmtId="0" xfId="0" applyAlignment="1" applyFont="1">
      <alignment horizontal="left" readingOrder="0" shrinkToFit="0" vertical="center" wrapText="1"/>
    </xf>
    <xf borderId="0" fillId="0" fontId="11" numFmtId="0" xfId="0" applyAlignment="1" applyFont="1">
      <alignment horizontal="left" readingOrder="0" shrinkToFit="0" vertical="center" wrapText="1"/>
    </xf>
    <xf borderId="0" fillId="5" fontId="7" numFmtId="0" xfId="0" applyAlignment="1" applyFill="1" applyFont="1">
      <alignment horizontal="left" readingOrder="0" shrinkToFit="0" vertical="center" wrapText="0"/>
    </xf>
    <xf borderId="0" fillId="5" fontId="7" numFmtId="0" xfId="0" applyAlignment="1" applyFont="1">
      <alignment horizontal="left" readingOrder="0" shrinkToFit="0" vertical="center" wrapText="1"/>
    </xf>
    <xf borderId="0" fillId="5" fontId="7" numFmtId="0" xfId="0" applyAlignment="1" applyFont="1">
      <alignment horizontal="center" readingOrder="0" shrinkToFit="0" vertical="center" wrapText="0"/>
    </xf>
    <xf borderId="0" fillId="5" fontId="7" numFmtId="164" xfId="0" applyAlignment="1" applyFont="1" applyNumberFormat="1">
      <alignment horizontal="center" readingOrder="0" shrinkToFit="0" vertical="center" wrapText="0"/>
    </xf>
    <xf borderId="0" fillId="5" fontId="7" numFmtId="49" xfId="0" applyAlignment="1" applyFont="1" applyNumberFormat="1">
      <alignment horizontal="left" readingOrder="0" shrinkToFit="0" vertical="center" wrapText="0"/>
    </xf>
    <xf borderId="0" fillId="5" fontId="5" numFmtId="0" xfId="0" applyAlignment="1" applyFont="1">
      <alignment readingOrder="0" shrinkToFit="0" vertical="center" wrapText="0"/>
    </xf>
    <xf borderId="0" fillId="5" fontId="5" numFmtId="0" xfId="0" applyAlignment="1" applyFont="1">
      <alignment horizontal="center" readingOrder="0" shrinkToFit="0" vertical="center" wrapText="0"/>
    </xf>
    <xf borderId="0" fillId="5" fontId="5" numFmtId="0" xfId="0" applyAlignment="1" applyFont="1">
      <alignment readingOrder="0" shrinkToFit="0" vertical="center" wrapText="0"/>
    </xf>
    <xf borderId="0" fillId="5" fontId="5" numFmtId="164" xfId="0" applyAlignment="1" applyFont="1" applyNumberFormat="1">
      <alignment horizontal="center" readingOrder="0" shrinkToFit="0" vertical="center" wrapText="0"/>
    </xf>
    <xf borderId="0" fillId="5" fontId="5" numFmtId="0" xfId="0" applyAlignment="1" applyFont="1">
      <alignment readingOrder="0" shrinkToFit="0" vertical="center" wrapText="0"/>
    </xf>
    <xf borderId="0" fillId="0" fontId="7" numFmtId="0" xfId="0" applyAlignment="1" applyFont="1">
      <alignment readingOrder="0" shrinkToFit="0" vertical="center" wrapText="0"/>
    </xf>
    <xf borderId="0" fillId="0" fontId="7" numFmtId="0" xfId="0" applyAlignment="1" applyFont="1">
      <alignment readingOrder="0" shrinkToFit="0" vertical="center" wrapText="1"/>
    </xf>
    <xf borderId="0" fillId="0" fontId="7" numFmtId="0" xfId="0" applyAlignment="1" applyFont="1">
      <alignment horizontal="center" readingOrder="0" shrinkToFit="0" vertical="center" wrapText="1"/>
    </xf>
    <xf borderId="0" fillId="0" fontId="7" numFmtId="164" xfId="0" applyAlignment="1" applyFont="1" applyNumberFormat="1">
      <alignment horizontal="center" readingOrder="0" shrinkToFit="0" vertical="center" wrapText="1"/>
    </xf>
    <xf borderId="0" fillId="0" fontId="7" numFmtId="0" xfId="0" applyAlignment="1" applyFont="1">
      <alignment readingOrder="0" shrinkToFit="0" vertical="center" wrapText="0"/>
    </xf>
    <xf borderId="0" fillId="0" fontId="7" numFmtId="164" xfId="0" applyAlignment="1" applyFont="1" applyNumberFormat="1">
      <alignment horizontal="center" shrinkToFit="0" vertical="center" wrapText="0"/>
    </xf>
    <xf borderId="0" fillId="0" fontId="7" numFmtId="0" xfId="0" applyAlignment="1" applyFont="1">
      <alignment readingOrder="0" shrinkToFit="0" vertical="center" wrapText="1"/>
    </xf>
    <xf borderId="0" fillId="0" fontId="7" numFmtId="164" xfId="0" applyAlignment="1" applyFont="1" applyNumberFormat="1">
      <alignment horizontal="center" readingOrder="0" shrinkToFit="0" vertical="center" wrapText="0"/>
    </xf>
    <xf borderId="0" fillId="0" fontId="7" numFmtId="0" xfId="0" applyAlignment="1" applyFont="1">
      <alignment shrinkToFit="0" vertical="center" wrapText="1"/>
    </xf>
    <xf borderId="0" fillId="0" fontId="7" numFmtId="0" xfId="0" applyAlignment="1" applyFont="1">
      <alignment readingOrder="0" shrinkToFit="0" vertical="center" wrapText="1"/>
    </xf>
    <xf borderId="0" fillId="0" fontId="7" numFmtId="0" xfId="0" applyAlignment="1" applyFont="1">
      <alignment shrinkToFit="0" vertical="center" wrapText="1"/>
    </xf>
    <xf borderId="0" fillId="0" fontId="7" numFmtId="0" xfId="0" applyAlignment="1" applyFont="1">
      <alignment horizontal="center" shrinkToFit="0" vertical="center" wrapText="1"/>
    </xf>
    <xf borderId="0" fillId="0" fontId="7" numFmtId="164" xfId="0" applyAlignment="1" applyFont="1" applyNumberFormat="1">
      <alignment horizontal="center" shrinkToFit="0" vertical="center" wrapText="1"/>
    </xf>
    <xf borderId="0" fillId="4" fontId="7" numFmtId="0" xfId="0" applyAlignment="1" applyFont="1">
      <alignment shrinkToFit="0" wrapText="1"/>
    </xf>
    <xf borderId="0" fillId="4" fontId="7" numFmtId="0" xfId="0" applyAlignment="1" applyFont="1">
      <alignment readingOrder="0" shrinkToFit="0" wrapText="1"/>
    </xf>
    <xf borderId="0" fillId="4" fontId="7" numFmtId="0" xfId="0" applyAlignment="1" applyFont="1">
      <alignment readingOrder="0"/>
    </xf>
    <xf borderId="0" fillId="5" fontId="5" numFmtId="0" xfId="0" applyAlignment="1" applyFont="1">
      <alignment horizontal="left" readingOrder="0" shrinkToFit="0" vertical="center" wrapText="1"/>
    </xf>
    <xf borderId="0" fillId="5" fontId="5" numFmtId="0" xfId="0" applyAlignment="1" applyFont="1">
      <alignment horizontal="center" readingOrder="0" shrinkToFit="0" vertical="center" wrapText="1"/>
    </xf>
    <xf borderId="0" fillId="5" fontId="5" numFmtId="164" xfId="0" applyAlignment="1" applyFont="1" applyNumberFormat="1">
      <alignment horizontal="center" readingOrder="0" shrinkToFit="0" vertical="center" wrapText="1"/>
    </xf>
    <xf borderId="0" fillId="5" fontId="5" numFmtId="49" xfId="0" applyAlignment="1" applyFont="1" applyNumberFormat="1">
      <alignment horizontal="left" readingOrder="0" shrinkToFit="0" vertical="center" wrapText="1"/>
    </xf>
    <xf borderId="0" fillId="5" fontId="5" numFmtId="0" xfId="0" applyAlignment="1" applyFont="1">
      <alignment readingOrder="0" shrinkToFit="0" vertical="center" wrapText="1"/>
    </xf>
    <xf borderId="0" fillId="5" fontId="5" numFmtId="0" xfId="0" applyAlignment="1" applyFont="1">
      <alignment readingOrder="0" shrinkToFit="0" vertical="center" wrapText="1"/>
    </xf>
    <xf borderId="0" fillId="5" fontId="5" numFmtId="164" xfId="0" applyAlignment="1" applyFont="1" applyNumberFormat="1">
      <alignment readingOrder="0" shrinkToFit="0" vertical="center" wrapText="1"/>
    </xf>
    <xf borderId="0" fillId="5" fontId="5" numFmtId="0" xfId="0" applyAlignment="1" applyFont="1">
      <alignment readingOrder="0" shrinkToFit="0" vertical="center" wrapText="1"/>
    </xf>
    <xf borderId="0" fillId="5" fontId="5" numFmtId="0" xfId="0" applyAlignment="1" applyFont="1">
      <alignment readingOrder="0" shrinkToFit="0" vertical="center" wrapText="1"/>
    </xf>
    <xf borderId="0" fillId="0" fontId="7" numFmtId="164" xfId="0" applyAlignment="1" applyFont="1" applyNumberFormat="1">
      <alignment readingOrder="0" shrinkToFit="0" vertical="center" wrapText="1"/>
    </xf>
    <xf borderId="0" fillId="0" fontId="7" numFmtId="0" xfId="0" applyAlignment="1" applyFont="1">
      <alignment readingOrder="0" shrinkToFit="0" vertical="center" wrapText="1"/>
    </xf>
    <xf borderId="0" fillId="0" fontId="7" numFmtId="0" xfId="0" applyAlignment="1" applyFont="1">
      <alignment readingOrder="0" shrinkToFit="0" vertical="center" wrapText="1"/>
    </xf>
    <xf borderId="0" fillId="0" fontId="5" numFmtId="0" xfId="0" applyAlignment="1" applyFont="1">
      <alignment readingOrder="0" shrinkToFit="0" vertical="center" wrapText="1"/>
    </xf>
    <xf borderId="3" fillId="5" fontId="5" numFmtId="0" xfId="0" applyAlignment="1" applyBorder="1" applyFont="1">
      <alignment readingOrder="0" shrinkToFit="0" vertical="center" wrapText="1"/>
    </xf>
    <xf borderId="4" fillId="5" fontId="12" numFmtId="0" xfId="0" applyAlignment="1" applyBorder="1" applyFont="1">
      <alignment shrinkToFit="0" vertical="center" wrapText="1"/>
    </xf>
    <xf borderId="4" fillId="5" fontId="12" numFmtId="0" xfId="0" applyAlignment="1" applyBorder="1" applyFont="1">
      <alignment shrinkToFit="0" vertical="center" wrapText="1"/>
    </xf>
    <xf borderId="4" fillId="5" fontId="12" numFmtId="164" xfId="0" applyAlignment="1" applyBorder="1" applyFont="1" applyNumberFormat="1">
      <alignment shrinkToFit="0" vertical="center" wrapText="1"/>
    </xf>
    <xf borderId="4" fillId="5" fontId="12" numFmtId="0" xfId="0" applyAlignment="1" applyBorder="1" applyFont="1">
      <alignment shrinkToFit="0" vertical="center" wrapText="1"/>
    </xf>
    <xf borderId="4" fillId="5" fontId="12" numFmtId="0" xfId="0" applyAlignment="1" applyBorder="1" applyFont="1">
      <alignment shrinkToFit="0" vertical="center" wrapText="1"/>
    </xf>
    <xf borderId="5" fillId="5" fontId="12" numFmtId="0" xfId="0" applyAlignment="1" applyBorder="1" applyFont="1">
      <alignment shrinkToFit="0" vertical="center" wrapText="1"/>
    </xf>
    <xf borderId="0" fillId="0" fontId="5" numFmtId="0" xfId="0" applyAlignment="1" applyFont="1">
      <alignment readingOrder="0" shrinkToFit="0" vertical="center" wrapText="1"/>
    </xf>
    <xf borderId="0" fillId="4" fontId="5" numFmtId="0" xfId="0" applyAlignment="1" applyFont="1">
      <alignment shrinkToFit="0" vertical="center" wrapText="1"/>
    </xf>
    <xf borderId="0" fillId="4" fontId="7" numFmtId="0" xfId="0" applyAlignment="1" applyFont="1">
      <alignment readingOrder="0" shrinkToFit="0" vertical="center" wrapText="1"/>
    </xf>
    <xf borderId="0" fillId="4" fontId="12" numFmtId="0" xfId="0" applyAlignment="1" applyFont="1">
      <alignment shrinkToFit="0" vertical="center" wrapText="1"/>
    </xf>
  </cellXfs>
  <cellStyles count="1">
    <cellStyle xfId="0" name="Normal" builtinId="0"/>
  </cellStyles>
  <dxfs count="6">
    <dxf>
      <font/>
      <fill>
        <patternFill patternType="none"/>
      </fill>
      <border/>
    </dxf>
    <dxf>
      <font/>
      <fill>
        <patternFill patternType="solid">
          <fgColor rgb="FF00E2FF"/>
          <bgColor rgb="FF00E2FF"/>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BFF7FF"/>
          <bgColor rgb="FFBFF7FF"/>
        </patternFill>
      </fill>
      <border/>
    </dxf>
    <dxf>
      <border>
        <left style="thin">
          <color rgb="FF00E2FF"/>
        </left>
        <right style="thin">
          <color rgb="FF00E2FF"/>
        </right>
        <top style="thin">
          <color rgb="FF00E2FF"/>
        </top>
        <bottom style="thin">
          <color rgb="FF00E2FF"/>
        </bottom>
      </border>
    </dxf>
  </dxfs>
  <tableStyles count="3">
    <tableStyle count="5" pivot="0" name="Estimates-style">
      <tableStyleElement dxfId="1" type="headerRow"/>
      <tableStyleElement dxfId="2" type="firstRowStripe"/>
      <tableStyleElement dxfId="3" type="secondRowStripe"/>
      <tableStyleElement dxfId="4" type="totalRow"/>
      <tableStyleElement dxfId="5" size="0" type="wholeTable"/>
    </tableStyle>
    <tableStyle count="4" pivot="0" name="Email Marketing -style">
      <tableStyleElement dxfId="1" type="headerRow"/>
      <tableStyleElement dxfId="2" type="firstRowStripe"/>
      <tableStyleElement dxfId="3" type="secondRowStripe"/>
      <tableStyleElement dxfId="5" size="0" type="wholeTable"/>
    </tableStyle>
    <tableStyle count="4" pivot="0" name="Standard Creative Estimates-style">
      <tableStyleElement dxfId="1" type="headerRow"/>
      <tableStyleElement dxfId="2" type="firstRowStripe"/>
      <tableStyleElement dxfId="3" type="secondRowStripe"/>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ref="A13:I31" displayName="Project_Name" name="Project_Name" id="1">
  <tableColumns count="9">
    <tableColumn name="Phase" id="1"/>
    <tableColumn totalsRowLabel="Project Total" name="Activity " id="2"/>
    <tableColumn name="Scope of Work" id="3"/>
    <tableColumn name="Description" id="4"/>
    <tableColumn name="Team" id="5"/>
    <tableColumn name="Hours" id="6"/>
    <tableColumn name="Rate" id="7"/>
    <tableColumn totalsRowFunction="custom" name="Total" id="8"/>
    <tableColumn name="Notes" id="9"/>
  </tableColumns>
  <tableStyleInfo name="Estimates-style" showColumnStripes="0" showFirstColumn="1" showLastColumn="1" showRowStripes="1"/>
</table>
</file>

<file path=xl/tables/table2.xml><?xml version="1.0" encoding="utf-8"?>
<table xmlns="http://schemas.openxmlformats.org/spreadsheetml/2006/main" ref="A1:H15" displayName="Email_Marketing" name="Email_Marketing" id="2">
  <tableColumns count="8">
    <tableColumn name="Item" id="1"/>
    <tableColumn name="Description" id="2"/>
    <tableColumn name="Team" id="3"/>
    <tableColumn name="Hours" id="4"/>
    <tableColumn name="Rate" id="5"/>
    <tableColumn name="Total" id="6"/>
    <tableColumn name="Service" id="7"/>
    <tableColumn name="Notes / Explanations" id="8"/>
  </tableColumns>
  <tableStyleInfo name="Email Marketing -style" showColumnStripes="0" showFirstColumn="1" showLastColumn="1" showRowStripes="1"/>
</table>
</file>

<file path=xl/tables/table3.xml><?xml version="1.0" encoding="utf-8"?>
<table xmlns="http://schemas.openxmlformats.org/spreadsheetml/2006/main" ref="A1:H25" displayName="Creative_Estimates" name="Creative_Estimates" id="3">
  <tableColumns count="8">
    <tableColumn name="Item" id="1"/>
    <tableColumn name="Description" id="2"/>
    <tableColumn name="Team" id="3"/>
    <tableColumn name="Hours" id="4"/>
    <tableColumn name="Rate" id="5"/>
    <tableColumn name="Total" id="6"/>
    <tableColumn name="Service" id="7"/>
    <tableColumn name="Notes / Explanations" id="8"/>
  </tableColumns>
  <tableStyleInfo name="Standard Creative Estimat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pCNjcJYjUbd4zM969N_yaYjrOXB8hPmWcQyvsdBVBfE/edit"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25.5"/>
    <col customWidth="1" min="3" max="3" width="18.63"/>
    <col customWidth="1" min="4" max="4" width="34.5"/>
    <col customWidth="1" min="5" max="5" width="13.63"/>
    <col customWidth="1" min="6" max="6" width="14.0"/>
    <col customWidth="1" min="7" max="7" width="12.75"/>
    <col customWidth="1" min="8" max="8" width="13.13"/>
    <col customWidth="1" min="9" max="9" width="29.63"/>
  </cols>
  <sheetData>
    <row r="1">
      <c r="A1" s="1" t="s">
        <v>0</v>
      </c>
      <c r="I1" s="1"/>
    </row>
    <row r="2">
      <c r="A2" s="2"/>
      <c r="B2" s="3"/>
      <c r="C2" s="3"/>
      <c r="D2" s="3"/>
      <c r="E2" s="3"/>
      <c r="F2" s="3"/>
      <c r="G2" s="3"/>
    </row>
    <row r="3">
      <c r="A3" s="4" t="s">
        <v>1</v>
      </c>
      <c r="B3" s="3"/>
      <c r="C3" s="2"/>
      <c r="D3" s="2"/>
      <c r="E3" s="3"/>
      <c r="F3" s="3"/>
      <c r="G3" s="3"/>
    </row>
    <row r="4">
      <c r="A4" s="5" t="s">
        <v>2</v>
      </c>
      <c r="I4" s="5"/>
    </row>
    <row r="5">
      <c r="A5" s="3"/>
      <c r="B5" s="3"/>
      <c r="C5" s="3"/>
      <c r="D5" s="3"/>
      <c r="E5" s="3"/>
      <c r="F5" s="3"/>
      <c r="G5" s="3"/>
    </row>
    <row r="6">
      <c r="A6" s="4" t="s">
        <v>3</v>
      </c>
      <c r="B6" s="3"/>
      <c r="C6" s="2"/>
      <c r="D6" s="2"/>
      <c r="E6" s="2"/>
      <c r="F6" s="2"/>
      <c r="G6" s="3"/>
    </row>
    <row r="7">
      <c r="A7" s="5" t="s">
        <v>2</v>
      </c>
      <c r="I7" s="5"/>
    </row>
    <row r="8">
      <c r="A8" s="3"/>
      <c r="B8" s="3"/>
      <c r="C8" s="2"/>
      <c r="D8" s="2"/>
      <c r="E8" s="2"/>
      <c r="F8" s="6"/>
      <c r="G8" s="3"/>
    </row>
    <row r="9">
      <c r="A9" s="4" t="s">
        <v>4</v>
      </c>
      <c r="B9" s="2"/>
      <c r="C9" s="2"/>
      <c r="D9" s="2"/>
      <c r="E9" s="2"/>
      <c r="F9" s="2"/>
      <c r="G9" s="2"/>
    </row>
    <row r="10">
      <c r="A10" s="5" t="s">
        <v>2</v>
      </c>
      <c r="I10" s="5"/>
    </row>
    <row r="11">
      <c r="A11" s="2"/>
      <c r="B11" s="2"/>
      <c r="C11" s="2"/>
      <c r="D11" s="2"/>
      <c r="E11" s="2"/>
      <c r="F11" s="2"/>
      <c r="G11" s="2"/>
      <c r="H11" s="2"/>
      <c r="I11" s="2"/>
    </row>
    <row r="12">
      <c r="A12" s="7"/>
      <c r="B12" s="7"/>
      <c r="C12" s="8"/>
      <c r="D12" s="8"/>
      <c r="E12" s="8"/>
      <c r="F12" s="9"/>
      <c r="G12" s="8"/>
      <c r="H12" s="8"/>
      <c r="I12" s="8"/>
    </row>
    <row r="13" ht="22.5" customHeight="1">
      <c r="A13" s="10" t="s">
        <v>5</v>
      </c>
      <c r="B13" s="10" t="s">
        <v>6</v>
      </c>
      <c r="C13" s="11" t="s">
        <v>7</v>
      </c>
      <c r="D13" s="12" t="s">
        <v>8</v>
      </c>
      <c r="E13" s="13" t="s">
        <v>9</v>
      </c>
      <c r="F13" s="13" t="s">
        <v>10</v>
      </c>
      <c r="G13" s="13" t="s">
        <v>11</v>
      </c>
      <c r="H13" s="13" t="s">
        <v>12</v>
      </c>
      <c r="I13" s="14" t="s">
        <v>13</v>
      </c>
    </row>
    <row r="14" ht="22.5" customHeight="1">
      <c r="A14" s="15"/>
      <c r="B14" s="16" t="s">
        <v>14</v>
      </c>
      <c r="C14" s="17" t="s">
        <v>15</v>
      </c>
      <c r="D14" s="17" t="s">
        <v>16</v>
      </c>
      <c r="E14" s="15"/>
      <c r="F14" s="18">
        <v>0.0</v>
      </c>
      <c r="G14" s="19">
        <v>100.0</v>
      </c>
      <c r="H14" s="19">
        <f t="shared" ref="H14:H30" si="1">F14*G14</f>
        <v>0</v>
      </c>
      <c r="I14" s="20" t="s">
        <v>17</v>
      </c>
    </row>
    <row r="15" ht="22.5" customHeight="1">
      <c r="A15" s="16"/>
      <c r="B15" s="16" t="s">
        <v>18</v>
      </c>
      <c r="C15" s="21"/>
      <c r="D15" s="22"/>
      <c r="E15" s="15"/>
      <c r="F15" s="18">
        <v>0.0</v>
      </c>
      <c r="G15" s="19">
        <v>175.0</v>
      </c>
      <c r="H15" s="19">
        <f t="shared" si="1"/>
        <v>0</v>
      </c>
      <c r="I15" s="20"/>
    </row>
    <row r="16" ht="22.5" customHeight="1">
      <c r="A16" s="15"/>
      <c r="B16" s="16" t="s">
        <v>19</v>
      </c>
      <c r="C16" s="17"/>
      <c r="D16" s="22"/>
      <c r="E16" s="15"/>
      <c r="F16" s="18">
        <v>0.0</v>
      </c>
      <c r="G16" s="19">
        <v>150.0</v>
      </c>
      <c r="H16" s="19">
        <f t="shared" si="1"/>
        <v>0</v>
      </c>
      <c r="I16" s="20"/>
    </row>
    <row r="17" ht="22.5" customHeight="1">
      <c r="A17" s="15"/>
      <c r="B17" s="16" t="s">
        <v>20</v>
      </c>
      <c r="C17" s="23"/>
      <c r="D17" s="22"/>
      <c r="E17" s="15"/>
      <c r="F17" s="18">
        <v>0.0</v>
      </c>
      <c r="G17" s="19">
        <v>150.0</v>
      </c>
      <c r="H17" s="19">
        <f t="shared" si="1"/>
        <v>0</v>
      </c>
      <c r="I17" s="20"/>
    </row>
    <row r="18" ht="22.5" customHeight="1">
      <c r="A18" s="15"/>
      <c r="B18" s="16" t="s">
        <v>21</v>
      </c>
      <c r="C18" s="21"/>
      <c r="D18" s="22"/>
      <c r="E18" s="15"/>
      <c r="F18" s="18">
        <v>0.0</v>
      </c>
      <c r="G18" s="19">
        <v>150.0</v>
      </c>
      <c r="H18" s="19">
        <f t="shared" si="1"/>
        <v>0</v>
      </c>
      <c r="I18" s="20"/>
    </row>
    <row r="19" ht="22.5" customHeight="1">
      <c r="A19" s="15"/>
      <c r="B19" s="16" t="s">
        <v>22</v>
      </c>
      <c r="C19" s="22"/>
      <c r="D19" s="22"/>
      <c r="E19" s="15"/>
      <c r="F19" s="18">
        <v>0.0</v>
      </c>
      <c r="G19" s="19">
        <v>250.0</v>
      </c>
      <c r="H19" s="19">
        <f t="shared" si="1"/>
        <v>0</v>
      </c>
      <c r="I19" s="19"/>
    </row>
    <row r="20" ht="22.5" customHeight="1">
      <c r="A20" s="15"/>
      <c r="B20" s="16" t="s">
        <v>23</v>
      </c>
      <c r="C20" s="22"/>
      <c r="D20" s="22"/>
      <c r="E20" s="15"/>
      <c r="F20" s="18">
        <v>0.0</v>
      </c>
      <c r="G20" s="19">
        <v>100.0</v>
      </c>
      <c r="H20" s="19">
        <f t="shared" si="1"/>
        <v>0</v>
      </c>
      <c r="I20" s="19"/>
    </row>
    <row r="21" ht="22.5" customHeight="1">
      <c r="A21" s="15"/>
      <c r="B21" s="16" t="s">
        <v>24</v>
      </c>
      <c r="C21" s="22"/>
      <c r="D21" s="22"/>
      <c r="E21" s="15"/>
      <c r="F21" s="18">
        <v>0.0</v>
      </c>
      <c r="G21" s="19">
        <v>150.0</v>
      </c>
      <c r="H21" s="19">
        <f t="shared" si="1"/>
        <v>0</v>
      </c>
      <c r="I21" s="19"/>
    </row>
    <row r="22" ht="22.5" customHeight="1">
      <c r="A22" s="15"/>
      <c r="B22" s="16" t="s">
        <v>25</v>
      </c>
      <c r="C22" s="22"/>
      <c r="D22" s="22"/>
      <c r="E22" s="15"/>
      <c r="F22" s="18">
        <v>0.0</v>
      </c>
      <c r="G22" s="19">
        <v>125.0</v>
      </c>
      <c r="H22" s="19">
        <f t="shared" si="1"/>
        <v>0</v>
      </c>
      <c r="I22" s="19"/>
    </row>
    <row r="23" ht="22.5" customHeight="1">
      <c r="A23" s="15"/>
      <c r="B23" s="16" t="s">
        <v>26</v>
      </c>
      <c r="C23" s="24"/>
      <c r="D23" s="24"/>
      <c r="E23" s="15"/>
      <c r="F23" s="18">
        <v>0.0</v>
      </c>
      <c r="G23" s="19">
        <v>125.0</v>
      </c>
      <c r="H23" s="19">
        <f t="shared" si="1"/>
        <v>0</v>
      </c>
      <c r="I23" s="19"/>
    </row>
    <row r="24" ht="22.5" customHeight="1">
      <c r="A24" s="15"/>
      <c r="B24" s="16" t="s">
        <v>27</v>
      </c>
      <c r="C24" s="22"/>
      <c r="D24" s="22"/>
      <c r="E24" s="15"/>
      <c r="F24" s="18">
        <v>0.0</v>
      </c>
      <c r="G24" s="19">
        <v>125.0</v>
      </c>
      <c r="H24" s="19">
        <f t="shared" si="1"/>
        <v>0</v>
      </c>
      <c r="I24" s="19"/>
    </row>
    <row r="25" ht="22.5" customHeight="1">
      <c r="A25" s="15"/>
      <c r="B25" s="16" t="s">
        <v>28</v>
      </c>
      <c r="C25" s="22"/>
      <c r="D25" s="22" t="s">
        <v>29</v>
      </c>
      <c r="E25" s="15"/>
      <c r="F25" s="18">
        <v>0.0</v>
      </c>
      <c r="G25" s="19">
        <v>150.0</v>
      </c>
      <c r="H25" s="19">
        <f t="shared" si="1"/>
        <v>0</v>
      </c>
      <c r="I25" s="19"/>
    </row>
    <row r="26" ht="22.5" customHeight="1">
      <c r="A26" s="15"/>
      <c r="B26" s="16" t="s">
        <v>14</v>
      </c>
      <c r="C26" s="22"/>
      <c r="D26" s="22" t="s">
        <v>30</v>
      </c>
      <c r="E26" s="15"/>
      <c r="F26" s="18">
        <v>0.0</v>
      </c>
      <c r="G26" s="19">
        <v>100.0</v>
      </c>
      <c r="H26" s="19">
        <f t="shared" si="1"/>
        <v>0</v>
      </c>
      <c r="I26" s="19"/>
    </row>
    <row r="27" ht="66.0" customHeight="1">
      <c r="A27" s="15"/>
      <c r="B27" s="16" t="s">
        <v>31</v>
      </c>
      <c r="C27" s="22"/>
      <c r="D27" s="22" t="s">
        <v>32</v>
      </c>
      <c r="E27" s="15"/>
      <c r="F27" s="18">
        <v>0.0</v>
      </c>
      <c r="G27" s="19">
        <v>150.0</v>
      </c>
      <c r="H27" s="19">
        <f t="shared" si="1"/>
        <v>0</v>
      </c>
      <c r="I27" s="19"/>
    </row>
    <row r="28" ht="22.5" customHeight="1">
      <c r="A28" s="15"/>
      <c r="B28" s="16" t="s">
        <v>33</v>
      </c>
      <c r="C28" s="22"/>
      <c r="D28" s="22" t="s">
        <v>34</v>
      </c>
      <c r="E28" s="15"/>
      <c r="F28" s="18">
        <v>0.0</v>
      </c>
      <c r="G28" s="19">
        <v>100.0</v>
      </c>
      <c r="H28" s="19">
        <f t="shared" si="1"/>
        <v>0</v>
      </c>
      <c r="I28" s="19"/>
    </row>
    <row r="29" ht="22.5" customHeight="1">
      <c r="A29" s="15"/>
      <c r="B29" s="16" t="s">
        <v>35</v>
      </c>
      <c r="C29" s="22"/>
      <c r="D29" s="22" t="s">
        <v>36</v>
      </c>
      <c r="E29" s="15"/>
      <c r="F29" s="18">
        <v>0.0</v>
      </c>
      <c r="G29" s="19">
        <v>100.0</v>
      </c>
      <c r="H29" s="19">
        <f t="shared" si="1"/>
        <v>0</v>
      </c>
      <c r="I29" s="19"/>
    </row>
    <row r="30" ht="22.5" customHeight="1">
      <c r="A30" s="15"/>
      <c r="B30" s="16" t="s">
        <v>37</v>
      </c>
      <c r="C30" s="22"/>
      <c r="D30" s="22"/>
      <c r="E30" s="15"/>
      <c r="F30" s="18">
        <v>0.0</v>
      </c>
      <c r="G30" s="19">
        <v>100.0</v>
      </c>
      <c r="H30" s="19">
        <f t="shared" si="1"/>
        <v>0</v>
      </c>
      <c r="I30" s="19"/>
    </row>
    <row r="31" ht="22.5" customHeight="1">
      <c r="A31" s="25"/>
      <c r="B31" s="25" t="s">
        <v>38</v>
      </c>
      <c r="C31" s="26"/>
      <c r="D31" s="26"/>
      <c r="E31" s="27"/>
      <c r="F31" s="28"/>
      <c r="G31" s="28"/>
      <c r="H31" s="29">
        <f>SUM(Project_Name[Total])</f>
        <v>0</v>
      </c>
      <c r="I31" s="28"/>
    </row>
    <row r="32">
      <c r="A32" s="30"/>
      <c r="B32" s="30"/>
      <c r="C32" s="31"/>
      <c r="D32" s="31"/>
      <c r="E32" s="32"/>
      <c r="F32" s="32"/>
      <c r="G32" s="32"/>
      <c r="H32" s="32"/>
      <c r="I32" s="32"/>
    </row>
    <row r="33">
      <c r="A33" s="30"/>
      <c r="B33" s="30"/>
      <c r="C33" s="31"/>
      <c r="D33" s="31"/>
      <c r="E33" s="32"/>
      <c r="F33" s="32"/>
      <c r="G33" s="32"/>
      <c r="H33" s="32"/>
      <c r="I33" s="32"/>
    </row>
    <row r="34">
      <c r="A34" s="33" t="s">
        <v>39</v>
      </c>
    </row>
    <row r="35">
      <c r="A35" s="34" t="s">
        <v>2</v>
      </c>
    </row>
    <row r="36">
      <c r="A36" s="35"/>
    </row>
    <row r="37">
      <c r="A37" s="36"/>
    </row>
    <row r="38">
      <c r="A38" s="30"/>
      <c r="B38" s="30"/>
      <c r="C38" s="31"/>
      <c r="D38" s="31"/>
      <c r="E38" s="30"/>
      <c r="F38" s="32"/>
      <c r="G38" s="30"/>
      <c r="H38" s="30"/>
      <c r="I38" s="30"/>
    </row>
    <row r="39">
      <c r="A39" s="30"/>
      <c r="B39" s="30"/>
      <c r="C39" s="31"/>
      <c r="D39" s="31"/>
      <c r="E39" s="30"/>
      <c r="F39" s="32"/>
      <c r="G39" s="30"/>
      <c r="H39" s="30"/>
      <c r="I39" s="30"/>
    </row>
    <row r="40">
      <c r="A40" s="30"/>
      <c r="B40" s="30"/>
      <c r="C40" s="31"/>
      <c r="D40" s="31"/>
      <c r="E40" s="30"/>
      <c r="F40" s="32"/>
      <c r="G40" s="30"/>
      <c r="H40" s="30"/>
      <c r="I40" s="30"/>
    </row>
    <row r="41">
      <c r="A41" s="30"/>
      <c r="B41" s="30"/>
      <c r="C41" s="31"/>
      <c r="D41" s="31"/>
      <c r="E41" s="30"/>
      <c r="F41" s="32"/>
      <c r="G41" s="30"/>
      <c r="H41" s="30"/>
      <c r="I41" s="30"/>
    </row>
    <row r="42">
      <c r="A42" s="30"/>
      <c r="B42" s="30"/>
      <c r="C42" s="31"/>
      <c r="D42" s="31"/>
      <c r="E42" s="30"/>
      <c r="F42" s="32"/>
      <c r="G42" s="30"/>
      <c r="H42" s="30"/>
      <c r="I42" s="30"/>
    </row>
    <row r="43">
      <c r="A43" s="30"/>
      <c r="B43" s="30"/>
      <c r="C43" s="31"/>
      <c r="D43" s="31"/>
      <c r="E43" s="30"/>
      <c r="F43" s="32"/>
      <c r="G43" s="30"/>
      <c r="H43" s="30"/>
      <c r="I43" s="30"/>
    </row>
  </sheetData>
  <mergeCells count="8">
    <mergeCell ref="A1:H1"/>
    <mergeCell ref="A4:H4"/>
    <mergeCell ref="A7:H7"/>
    <mergeCell ref="A10:H10"/>
    <mergeCell ref="A34:G34"/>
    <mergeCell ref="A35:G35"/>
    <mergeCell ref="A36:G36"/>
    <mergeCell ref="A37:G37"/>
  </mergeCells>
  <dataValidations>
    <dataValidation type="list" allowBlank="1" sqref="E14:E30">
      <formula1>"Adam,Alli,Amanda,Amy,Cassidy,Carmela,Devon,Deb,Kim,Kellie,Nick,Christian,Erin,Daniel,Grace,Meg,Andy,Forgie,Cassidy,Emily"</formula1>
    </dataValidation>
    <dataValidation type="list" allowBlank="1" sqref="B14:B30">
      <formula1>"Consulting,Creative Design,Website Design,Website Development,Photography,Photography Assistant,Copywriting,Email Blasts,Social Media,SEO,Creative Direction,Account Service,Production Management,Marketing Coordinator ,Strategic Planning,Formulating New Bu"&amp;"siness"</formula1>
    </dataValidation>
    <dataValidation type="custom" allowBlank="1" showDropDown="1" sqref="F14:H30">
      <formula1>AND(ISNUMBER(F14),(NOT(OR(NOT(ISERROR(DATEVALUE(F14))), AND(ISNUMBER(F14), LEFT(CELL("format", F14))="D")))))</formula1>
    </dataValidation>
    <dataValidation type="list" allowBlank="1" sqref="A14:A30">
      <formula1>"Phase: 1 ,Phase: 2 ,Phase: 3 ,Phase: 4 ,Phase Padding"</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2" max="2" width="51.25"/>
    <col customWidth="1" min="3" max="3" width="9.38"/>
  </cols>
  <sheetData>
    <row r="1">
      <c r="A1" s="37" t="s">
        <v>40</v>
      </c>
      <c r="B1" s="37" t="s">
        <v>41</v>
      </c>
      <c r="C1" s="38" t="s">
        <v>11</v>
      </c>
    </row>
    <row r="2">
      <c r="A2" s="39" t="s">
        <v>18</v>
      </c>
      <c r="B2" s="40" t="s">
        <v>42</v>
      </c>
      <c r="C2" s="41">
        <v>175.0</v>
      </c>
    </row>
    <row r="3">
      <c r="A3" s="39" t="s">
        <v>19</v>
      </c>
      <c r="B3" s="40" t="s">
        <v>43</v>
      </c>
      <c r="C3" s="41">
        <v>150.0</v>
      </c>
    </row>
    <row r="4">
      <c r="A4" s="39" t="s">
        <v>20</v>
      </c>
      <c r="B4" s="40" t="s">
        <v>44</v>
      </c>
      <c r="C4" s="41">
        <v>150.0</v>
      </c>
    </row>
    <row r="5">
      <c r="A5" s="39" t="s">
        <v>21</v>
      </c>
      <c r="B5" s="40" t="s">
        <v>45</v>
      </c>
      <c r="C5" s="41">
        <v>150.0</v>
      </c>
    </row>
    <row r="6">
      <c r="A6" s="39" t="s">
        <v>22</v>
      </c>
      <c r="B6" s="40" t="s">
        <v>46</v>
      </c>
      <c r="C6" s="41">
        <v>250.0</v>
      </c>
    </row>
    <row r="7">
      <c r="A7" s="39" t="s">
        <v>23</v>
      </c>
      <c r="B7" s="40" t="s">
        <v>47</v>
      </c>
      <c r="C7" s="41">
        <v>100.0</v>
      </c>
    </row>
    <row r="8">
      <c r="A8" s="39" t="s">
        <v>24</v>
      </c>
      <c r="B8" s="40" t="s">
        <v>48</v>
      </c>
      <c r="C8" s="41">
        <v>150.0</v>
      </c>
    </row>
    <row r="9">
      <c r="A9" s="39" t="s">
        <v>49</v>
      </c>
      <c r="B9" s="40" t="s">
        <v>50</v>
      </c>
      <c r="C9" s="41">
        <v>125.0</v>
      </c>
    </row>
    <row r="10">
      <c r="A10" s="39" t="s">
        <v>26</v>
      </c>
      <c r="B10" s="40" t="s">
        <v>51</v>
      </c>
      <c r="C10" s="41">
        <v>125.0</v>
      </c>
    </row>
    <row r="11">
      <c r="A11" s="39" t="s">
        <v>27</v>
      </c>
      <c r="B11" s="40" t="s">
        <v>52</v>
      </c>
      <c r="C11" s="41">
        <v>125.0</v>
      </c>
    </row>
    <row r="12">
      <c r="A12" s="39" t="s">
        <v>28</v>
      </c>
      <c r="B12" s="40" t="s">
        <v>29</v>
      </c>
      <c r="C12" s="41">
        <v>150.0</v>
      </c>
    </row>
    <row r="13">
      <c r="A13" s="39" t="s">
        <v>53</v>
      </c>
      <c r="B13" s="40" t="s">
        <v>30</v>
      </c>
      <c r="C13" s="41">
        <v>100.0</v>
      </c>
    </row>
    <row r="14">
      <c r="A14" s="39" t="s">
        <v>33</v>
      </c>
      <c r="B14" s="40" t="s">
        <v>34</v>
      </c>
      <c r="C14" s="41">
        <v>100.0</v>
      </c>
    </row>
    <row r="15">
      <c r="A15" s="39" t="s">
        <v>35</v>
      </c>
      <c r="B15" s="40" t="s">
        <v>36</v>
      </c>
      <c r="C15" s="41">
        <v>100.0</v>
      </c>
    </row>
    <row r="16">
      <c r="A16" s="39" t="s">
        <v>54</v>
      </c>
      <c r="B16" s="40" t="s">
        <v>32</v>
      </c>
      <c r="C16" s="41">
        <v>150.0</v>
      </c>
    </row>
    <row r="17">
      <c r="A17" s="39" t="s">
        <v>37</v>
      </c>
      <c r="B17" s="40" t="s">
        <v>55</v>
      </c>
      <c r="C17" s="41">
        <v>100.0</v>
      </c>
    </row>
    <row r="18">
      <c r="A18" s="42"/>
      <c r="B18" s="42"/>
      <c r="C18" s="43"/>
    </row>
    <row r="19">
      <c r="A19" s="44" t="s">
        <v>56</v>
      </c>
    </row>
    <row r="20">
      <c r="A20" s="45" t="s">
        <v>57</v>
      </c>
    </row>
  </sheetData>
  <mergeCells count="2">
    <mergeCell ref="A19:C19"/>
    <mergeCell ref="A20:C20"/>
  </mergeCells>
  <hyperlinks>
    <hyperlink r:id="rId1" ref="A20"/>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32.0"/>
    <col customWidth="1" min="2" max="2" width="38.13"/>
    <col customWidth="1" min="3" max="3" width="13.63"/>
    <col customWidth="1" min="4" max="4" width="10.75"/>
    <col customWidth="1" min="5" max="5" width="9.5"/>
    <col customWidth="1" min="6" max="6" width="9.88"/>
    <col customWidth="1" min="7" max="7" width="18.25"/>
    <col customWidth="1" min="8" max="8" width="24.0"/>
  </cols>
  <sheetData>
    <row r="1" ht="22.5" customHeight="1">
      <c r="A1" s="46" t="s">
        <v>58</v>
      </c>
      <c r="B1" s="47" t="s">
        <v>8</v>
      </c>
      <c r="C1" s="48" t="s">
        <v>9</v>
      </c>
      <c r="D1" s="48" t="s">
        <v>10</v>
      </c>
      <c r="E1" s="49" t="s">
        <v>11</v>
      </c>
      <c r="F1" s="49" t="s">
        <v>12</v>
      </c>
      <c r="G1" s="50" t="s">
        <v>59</v>
      </c>
      <c r="H1" s="46" t="s">
        <v>60</v>
      </c>
    </row>
    <row r="2" ht="22.5" customHeight="1">
      <c r="A2" s="51" t="s">
        <v>61</v>
      </c>
      <c r="B2" s="52"/>
      <c r="C2" s="53"/>
      <c r="D2" s="52"/>
      <c r="E2" s="54"/>
      <c r="F2" s="54"/>
      <c r="G2" s="55"/>
      <c r="H2" s="51"/>
    </row>
    <row r="3" ht="22.5" customHeight="1">
      <c r="A3" s="56" t="s">
        <v>62</v>
      </c>
      <c r="B3" s="17" t="s">
        <v>63</v>
      </c>
      <c r="C3" s="57" t="s">
        <v>64</v>
      </c>
      <c r="D3" s="58">
        <v>3.0</v>
      </c>
      <c r="E3" s="59">
        <v>125.0</v>
      </c>
      <c r="F3" s="59">
        <f t="shared" ref="F3:F4" si="1">D3*E3</f>
        <v>375</v>
      </c>
      <c r="G3" s="60" t="s">
        <v>49</v>
      </c>
      <c r="H3" s="56"/>
    </row>
    <row r="4" ht="22.5" customHeight="1">
      <c r="A4" s="56" t="s">
        <v>65</v>
      </c>
      <c r="B4" s="17" t="s">
        <v>66</v>
      </c>
      <c r="C4" s="57" t="s">
        <v>64</v>
      </c>
      <c r="D4" s="58">
        <v>1.0</v>
      </c>
      <c r="E4" s="59">
        <v>125.0</v>
      </c>
      <c r="F4" s="59">
        <f t="shared" si="1"/>
        <v>125</v>
      </c>
      <c r="G4" s="60" t="s">
        <v>49</v>
      </c>
      <c r="H4" s="56"/>
    </row>
    <row r="5" ht="22.5" customHeight="1">
      <c r="A5" s="51" t="s">
        <v>67</v>
      </c>
      <c r="B5" s="52"/>
      <c r="C5" s="53"/>
      <c r="D5" s="52"/>
      <c r="E5" s="54"/>
      <c r="F5" s="54"/>
      <c r="G5" s="55"/>
      <c r="H5" s="51"/>
    </row>
    <row r="6" ht="22.5" customHeight="1">
      <c r="A6" s="56" t="s">
        <v>68</v>
      </c>
      <c r="B6" s="17" t="s">
        <v>69</v>
      </c>
      <c r="C6" s="57" t="s">
        <v>64</v>
      </c>
      <c r="D6" s="58">
        <v>0.0</v>
      </c>
      <c r="E6" s="59">
        <v>125.0</v>
      </c>
      <c r="F6" s="61">
        <f t="shared" ref="F6:F7" si="2">D6*E6</f>
        <v>0</v>
      </c>
      <c r="G6" s="62" t="s">
        <v>49</v>
      </c>
      <c r="H6" s="17"/>
    </row>
    <row r="7" ht="22.5" customHeight="1">
      <c r="A7" s="56" t="s">
        <v>70</v>
      </c>
      <c r="B7" s="17" t="s">
        <v>69</v>
      </c>
      <c r="C7" s="57" t="s">
        <v>64</v>
      </c>
      <c r="D7" s="58">
        <v>0.0</v>
      </c>
      <c r="E7" s="59">
        <v>125.0</v>
      </c>
      <c r="F7" s="61">
        <f t="shared" si="2"/>
        <v>0</v>
      </c>
      <c r="G7" s="62" t="s">
        <v>49</v>
      </c>
      <c r="H7" s="17"/>
    </row>
    <row r="8" ht="22.5" customHeight="1">
      <c r="A8" s="51" t="s">
        <v>71</v>
      </c>
      <c r="B8" s="52"/>
      <c r="C8" s="53"/>
      <c r="D8" s="52"/>
      <c r="E8" s="54"/>
      <c r="F8" s="54"/>
      <c r="G8" s="55"/>
      <c r="H8" s="51"/>
    </row>
    <row r="9" ht="22.5" customHeight="1">
      <c r="A9" s="56" t="s">
        <v>72</v>
      </c>
      <c r="B9" s="17" t="s">
        <v>73</v>
      </c>
      <c r="C9" s="57" t="s">
        <v>64</v>
      </c>
      <c r="D9" s="58">
        <v>0.25</v>
      </c>
      <c r="E9" s="63">
        <v>125.0</v>
      </c>
      <c r="F9" s="61">
        <f t="shared" ref="F9:F10" si="3">D9*E9</f>
        <v>31.25</v>
      </c>
      <c r="G9" s="62" t="s">
        <v>49</v>
      </c>
      <c r="H9" s="17"/>
    </row>
    <row r="10" ht="22.5" customHeight="1">
      <c r="A10" s="56" t="s">
        <v>74</v>
      </c>
      <c r="B10" s="17" t="s">
        <v>75</v>
      </c>
      <c r="C10" s="57" t="s">
        <v>64</v>
      </c>
      <c r="D10" s="58">
        <v>1.0</v>
      </c>
      <c r="E10" s="63">
        <v>125.0</v>
      </c>
      <c r="F10" s="61">
        <f t="shared" si="3"/>
        <v>125</v>
      </c>
      <c r="G10" s="62" t="s">
        <v>49</v>
      </c>
      <c r="H10" s="17"/>
    </row>
    <row r="11" ht="22.5" customHeight="1">
      <c r="A11" s="51" t="s">
        <v>76</v>
      </c>
      <c r="B11" s="52"/>
      <c r="C11" s="53"/>
      <c r="D11" s="52"/>
      <c r="E11" s="54"/>
      <c r="F11" s="54"/>
      <c r="G11" s="55"/>
      <c r="H11" s="51"/>
    </row>
    <row r="12" ht="22.5" customHeight="1">
      <c r="A12" s="56" t="s">
        <v>77</v>
      </c>
      <c r="B12" s="17" t="s">
        <v>78</v>
      </c>
      <c r="C12" s="57" t="s">
        <v>64</v>
      </c>
      <c r="D12" s="58">
        <v>1.0</v>
      </c>
      <c r="E12" s="63">
        <v>125.0</v>
      </c>
      <c r="F12" s="61">
        <f>D12*E12</f>
        <v>125</v>
      </c>
      <c r="G12" s="62" t="s">
        <v>49</v>
      </c>
      <c r="H12" s="64"/>
    </row>
    <row r="13" ht="22.5" customHeight="1">
      <c r="A13" s="56" t="s">
        <v>79</v>
      </c>
      <c r="B13" s="17" t="s">
        <v>80</v>
      </c>
      <c r="C13" s="65"/>
      <c r="D13" s="58">
        <v>0.0</v>
      </c>
      <c r="E13" s="63">
        <v>45.0</v>
      </c>
      <c r="F13" s="61">
        <f t="shared" ref="F13:F15" si="4">E13*1.4</f>
        <v>63</v>
      </c>
      <c r="G13" s="62"/>
      <c r="H13" s="17" t="s">
        <v>81</v>
      </c>
    </row>
    <row r="14" ht="22.5" customHeight="1">
      <c r="A14" s="56" t="s">
        <v>82</v>
      </c>
      <c r="B14" s="17" t="s">
        <v>83</v>
      </c>
      <c r="C14" s="65"/>
      <c r="D14" s="58">
        <v>0.0</v>
      </c>
      <c r="E14" s="63">
        <v>60.0</v>
      </c>
      <c r="F14" s="61">
        <f t="shared" si="4"/>
        <v>84</v>
      </c>
      <c r="G14" s="62"/>
      <c r="H14" s="17" t="s">
        <v>81</v>
      </c>
    </row>
    <row r="15" ht="22.5" customHeight="1">
      <c r="A15" s="56" t="s">
        <v>84</v>
      </c>
      <c r="B15" s="17" t="s">
        <v>85</v>
      </c>
      <c r="C15" s="65"/>
      <c r="D15" s="58">
        <v>0.0</v>
      </c>
      <c r="E15" s="63">
        <v>135.0</v>
      </c>
      <c r="F15" s="61">
        <f t="shared" si="4"/>
        <v>189</v>
      </c>
      <c r="G15" s="62"/>
      <c r="H15" s="17" t="s">
        <v>81</v>
      </c>
    </row>
    <row r="16">
      <c r="A16" s="66"/>
      <c r="B16" s="67"/>
      <c r="C16" s="67"/>
      <c r="D16" s="67"/>
      <c r="E16" s="68"/>
      <c r="F16" s="68"/>
      <c r="G16" s="66"/>
      <c r="H16" s="66"/>
    </row>
    <row r="17">
      <c r="A17" s="69" t="s">
        <v>39</v>
      </c>
      <c r="G17" s="66"/>
      <c r="H17" s="66"/>
    </row>
    <row r="18">
      <c r="A18" s="70" t="s">
        <v>86</v>
      </c>
      <c r="G18" s="66"/>
      <c r="H18" s="66"/>
    </row>
    <row r="19">
      <c r="A19" s="71" t="s">
        <v>87</v>
      </c>
      <c r="B19" s="71"/>
      <c r="C19" s="71"/>
      <c r="D19" s="71"/>
      <c r="E19" s="71"/>
      <c r="F19" s="71"/>
      <c r="G19" s="66"/>
      <c r="H19" s="66"/>
    </row>
    <row r="20">
      <c r="A20" s="71" t="s">
        <v>88</v>
      </c>
      <c r="G20" s="66"/>
      <c r="H20" s="66"/>
    </row>
    <row r="21">
      <c r="A21" s="66"/>
      <c r="B21" s="67"/>
      <c r="C21" s="67"/>
      <c r="D21" s="67"/>
      <c r="E21" s="68"/>
      <c r="F21" s="68"/>
      <c r="G21" s="66"/>
      <c r="H21" s="66"/>
    </row>
  </sheetData>
  <mergeCells count="3">
    <mergeCell ref="A17:F17"/>
    <mergeCell ref="A18:F18"/>
    <mergeCell ref="A20:F20"/>
  </mergeCells>
  <dataValidations>
    <dataValidation type="list" allowBlank="1" sqref="C2:C15">
      <formula1>"Erin,MailChimp"</formula1>
    </dataValidation>
    <dataValidation type="list" allowBlank="1" sqref="G2:G15">
      <formula1>"Creative Design,Email Marketing"</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2.75"/>
    <col customWidth="1" min="2" max="2" width="38.38"/>
    <col customWidth="1" min="3" max="3" width="13.63"/>
    <col customWidth="1" min="4" max="5" width="12.13"/>
    <col customWidth="1" min="6" max="6" width="12.38"/>
    <col customWidth="1" min="7" max="8" width="25.0"/>
  </cols>
  <sheetData>
    <row r="1" ht="22.5" customHeight="1">
      <c r="A1" s="72" t="s">
        <v>58</v>
      </c>
      <c r="B1" s="72" t="s">
        <v>8</v>
      </c>
      <c r="C1" s="73" t="s">
        <v>9</v>
      </c>
      <c r="D1" s="73" t="s">
        <v>10</v>
      </c>
      <c r="E1" s="74" t="s">
        <v>11</v>
      </c>
      <c r="F1" s="74" t="s">
        <v>12</v>
      </c>
      <c r="G1" s="75" t="s">
        <v>59</v>
      </c>
      <c r="H1" s="72" t="s">
        <v>60</v>
      </c>
    </row>
    <row r="2" ht="22.5" customHeight="1">
      <c r="A2" s="76" t="s">
        <v>89</v>
      </c>
      <c r="B2" s="73"/>
      <c r="C2" s="77"/>
      <c r="D2" s="73"/>
      <c r="E2" s="78"/>
      <c r="F2" s="79"/>
      <c r="G2" s="80"/>
      <c r="H2" s="76"/>
    </row>
    <row r="3" ht="22.5" customHeight="1">
      <c r="A3" s="17" t="s">
        <v>90</v>
      </c>
      <c r="B3" s="17" t="s">
        <v>91</v>
      </c>
      <c r="C3" s="57"/>
      <c r="D3" s="58">
        <v>8.0</v>
      </c>
      <c r="E3" s="81">
        <v>150.0</v>
      </c>
      <c r="F3" s="82">
        <f t="shared" ref="F3:F6" si="1">D3*E3</f>
        <v>1200</v>
      </c>
      <c r="G3" s="62" t="s">
        <v>19</v>
      </c>
      <c r="H3" s="17" t="s">
        <v>92</v>
      </c>
    </row>
    <row r="4" ht="22.5" customHeight="1">
      <c r="A4" s="17" t="s">
        <v>93</v>
      </c>
      <c r="B4" s="17" t="s">
        <v>94</v>
      </c>
      <c r="C4" s="65"/>
      <c r="D4" s="58">
        <v>4.0</v>
      </c>
      <c r="E4" s="81">
        <v>150.0</v>
      </c>
      <c r="F4" s="82">
        <f t="shared" si="1"/>
        <v>600</v>
      </c>
      <c r="G4" s="62" t="s">
        <v>19</v>
      </c>
      <c r="H4" s="83" t="s">
        <v>95</v>
      </c>
    </row>
    <row r="5" ht="22.5" customHeight="1">
      <c r="A5" s="17" t="s">
        <v>96</v>
      </c>
      <c r="B5" s="17" t="s">
        <v>97</v>
      </c>
      <c r="C5" s="65"/>
      <c r="D5" s="58">
        <v>0.0</v>
      </c>
      <c r="E5" s="81">
        <v>150.0</v>
      </c>
      <c r="F5" s="82">
        <f t="shared" si="1"/>
        <v>0</v>
      </c>
      <c r="G5" s="62" t="s">
        <v>19</v>
      </c>
      <c r="H5" s="84"/>
    </row>
    <row r="6" ht="22.5" customHeight="1">
      <c r="A6" s="17" t="s">
        <v>98</v>
      </c>
      <c r="B6" s="17" t="s">
        <v>99</v>
      </c>
      <c r="C6" s="65"/>
      <c r="D6" s="58">
        <v>1.0</v>
      </c>
      <c r="E6" s="81">
        <v>150.0</v>
      </c>
      <c r="F6" s="82">
        <f t="shared" si="1"/>
        <v>150</v>
      </c>
      <c r="G6" s="62" t="s">
        <v>19</v>
      </c>
      <c r="H6" s="17" t="s">
        <v>100</v>
      </c>
    </row>
    <row r="7" ht="22.5" customHeight="1">
      <c r="A7" s="85" t="s">
        <v>101</v>
      </c>
      <c r="B7" s="86"/>
      <c r="C7" s="87"/>
      <c r="D7" s="86"/>
      <c r="E7" s="88"/>
      <c r="F7" s="89"/>
      <c r="G7" s="90"/>
      <c r="H7" s="91"/>
    </row>
    <row r="8" ht="22.5" customHeight="1">
      <c r="A8" s="17" t="s">
        <v>102</v>
      </c>
      <c r="B8" s="17"/>
      <c r="C8" s="65"/>
      <c r="D8" s="58">
        <v>2.0</v>
      </c>
      <c r="E8" s="81">
        <v>150.0</v>
      </c>
      <c r="F8" s="82">
        <f t="shared" ref="F8:F11" si="2">D8*E8</f>
        <v>300</v>
      </c>
      <c r="G8" s="62" t="s">
        <v>19</v>
      </c>
      <c r="H8" s="84"/>
    </row>
    <row r="9" ht="22.5" customHeight="1">
      <c r="A9" s="17" t="s">
        <v>103</v>
      </c>
      <c r="B9" s="17"/>
      <c r="C9" s="65"/>
      <c r="D9" s="58">
        <v>2.0</v>
      </c>
      <c r="E9" s="81">
        <v>150.0</v>
      </c>
      <c r="F9" s="82">
        <f t="shared" si="2"/>
        <v>300</v>
      </c>
      <c r="G9" s="62" t="s">
        <v>19</v>
      </c>
      <c r="H9" s="84"/>
    </row>
    <row r="10" ht="22.5" customHeight="1">
      <c r="A10" s="17" t="s">
        <v>104</v>
      </c>
      <c r="B10" s="17"/>
      <c r="C10" s="65"/>
      <c r="D10" s="58">
        <v>4.0</v>
      </c>
      <c r="E10" s="81">
        <v>150.0</v>
      </c>
      <c r="F10" s="82">
        <f t="shared" si="2"/>
        <v>600</v>
      </c>
      <c r="G10" s="62" t="s">
        <v>19</v>
      </c>
      <c r="H10" s="84"/>
    </row>
    <row r="11" ht="22.5" customHeight="1">
      <c r="A11" s="17" t="s">
        <v>105</v>
      </c>
      <c r="B11" s="17"/>
      <c r="C11" s="65"/>
      <c r="D11" s="58">
        <v>1.0</v>
      </c>
      <c r="E11" s="81">
        <v>150.0</v>
      </c>
      <c r="F11" s="82">
        <f t="shared" si="2"/>
        <v>150</v>
      </c>
      <c r="G11" s="62" t="s">
        <v>19</v>
      </c>
      <c r="H11" s="17" t="s">
        <v>106</v>
      </c>
    </row>
    <row r="12" ht="22.5" customHeight="1">
      <c r="A12" s="76" t="s">
        <v>107</v>
      </c>
      <c r="B12" s="73"/>
      <c r="C12" s="77"/>
      <c r="D12" s="73"/>
      <c r="E12" s="78"/>
      <c r="F12" s="79"/>
      <c r="G12" s="80"/>
      <c r="H12" s="76"/>
    </row>
    <row r="13" ht="22.5" customHeight="1">
      <c r="A13" s="17" t="s">
        <v>108</v>
      </c>
      <c r="B13" s="14"/>
      <c r="C13" s="92"/>
      <c r="D13" s="58">
        <v>0.0</v>
      </c>
      <c r="E13" s="81">
        <v>150.0</v>
      </c>
      <c r="F13" s="82">
        <f t="shared" ref="F13:F16" si="3">D13*E13</f>
        <v>0</v>
      </c>
      <c r="G13" s="62" t="s">
        <v>19</v>
      </c>
      <c r="H13" s="84"/>
    </row>
    <row r="14" ht="22.5" customHeight="1">
      <c r="A14" s="17" t="s">
        <v>109</v>
      </c>
      <c r="B14" s="14"/>
      <c r="C14" s="92"/>
      <c r="D14" s="58">
        <v>0.0</v>
      </c>
      <c r="E14" s="81">
        <v>150.0</v>
      </c>
      <c r="F14" s="82">
        <f t="shared" si="3"/>
        <v>0</v>
      </c>
      <c r="G14" s="62"/>
      <c r="H14" s="84"/>
    </row>
    <row r="15" ht="22.5" customHeight="1">
      <c r="A15" s="17" t="s">
        <v>110</v>
      </c>
      <c r="B15" s="14"/>
      <c r="C15" s="92"/>
      <c r="D15" s="58">
        <v>0.0</v>
      </c>
      <c r="E15" s="81">
        <v>150.0</v>
      </c>
      <c r="F15" s="82">
        <f t="shared" si="3"/>
        <v>0</v>
      </c>
      <c r="G15" s="62" t="s">
        <v>19</v>
      </c>
      <c r="H15" s="84"/>
    </row>
    <row r="16" ht="22.5" customHeight="1">
      <c r="A16" s="17" t="s">
        <v>111</v>
      </c>
      <c r="B16" s="14"/>
      <c r="C16" s="92"/>
      <c r="D16" s="58">
        <v>0.0</v>
      </c>
      <c r="E16" s="81">
        <v>150.0</v>
      </c>
      <c r="F16" s="82">
        <f t="shared" si="3"/>
        <v>0</v>
      </c>
      <c r="G16" s="62" t="s">
        <v>19</v>
      </c>
      <c r="H16" s="84"/>
    </row>
    <row r="17" ht="22.5" customHeight="1">
      <c r="A17" s="76" t="s">
        <v>112</v>
      </c>
      <c r="B17" s="73"/>
      <c r="C17" s="77"/>
      <c r="D17" s="73"/>
      <c r="E17" s="78"/>
      <c r="F17" s="79"/>
      <c r="G17" s="80"/>
      <c r="H17" s="76"/>
    </row>
    <row r="18" ht="22.5" customHeight="1">
      <c r="A18" s="17" t="s">
        <v>113</v>
      </c>
      <c r="B18" s="17"/>
      <c r="C18" s="65"/>
      <c r="D18" s="58">
        <v>0.0</v>
      </c>
      <c r="E18" s="81">
        <v>150.0</v>
      </c>
      <c r="F18" s="82">
        <f t="shared" ref="F18:F20" si="4">D18*E18</f>
        <v>0</v>
      </c>
      <c r="G18" s="62" t="s">
        <v>19</v>
      </c>
      <c r="H18" s="84"/>
    </row>
    <row r="19" ht="22.5" customHeight="1">
      <c r="A19" s="17" t="s">
        <v>114</v>
      </c>
      <c r="B19" s="17"/>
      <c r="C19" s="65"/>
      <c r="D19" s="58">
        <v>0.0</v>
      </c>
      <c r="E19" s="81">
        <v>150.0</v>
      </c>
      <c r="F19" s="82">
        <f t="shared" si="4"/>
        <v>0</v>
      </c>
      <c r="G19" s="62" t="s">
        <v>19</v>
      </c>
      <c r="H19" s="84"/>
    </row>
    <row r="20" ht="22.5" customHeight="1">
      <c r="A20" s="17" t="s">
        <v>115</v>
      </c>
      <c r="B20" s="17"/>
      <c r="C20" s="65"/>
      <c r="D20" s="58">
        <v>0.0</v>
      </c>
      <c r="E20" s="81">
        <v>150.0</v>
      </c>
      <c r="F20" s="82">
        <f t="shared" si="4"/>
        <v>0</v>
      </c>
      <c r="G20" s="62" t="s">
        <v>19</v>
      </c>
      <c r="H20" s="84"/>
    </row>
    <row r="21" ht="22.5" customHeight="1">
      <c r="A21" s="76" t="s">
        <v>116</v>
      </c>
      <c r="B21" s="73"/>
      <c r="C21" s="77"/>
      <c r="D21" s="73"/>
      <c r="E21" s="78"/>
      <c r="F21" s="79"/>
      <c r="G21" s="80"/>
      <c r="H21" s="76"/>
    </row>
    <row r="22" ht="22.5" customHeight="1">
      <c r="A22" s="17" t="s">
        <v>117</v>
      </c>
      <c r="B22" s="17" t="s">
        <v>118</v>
      </c>
      <c r="C22" s="65"/>
      <c r="D22" s="58">
        <v>2.0</v>
      </c>
      <c r="E22" s="81">
        <v>150.0</v>
      </c>
      <c r="F22" s="82">
        <f t="shared" ref="F22:F25" si="5">D22*E22</f>
        <v>300</v>
      </c>
      <c r="G22" s="62" t="s">
        <v>19</v>
      </c>
      <c r="H22" s="84"/>
    </row>
    <row r="23" ht="22.5" customHeight="1">
      <c r="A23" s="17" t="s">
        <v>119</v>
      </c>
      <c r="B23" s="17"/>
      <c r="C23" s="65"/>
      <c r="D23" s="58">
        <v>1.0</v>
      </c>
      <c r="E23" s="81">
        <v>150.0</v>
      </c>
      <c r="F23" s="82">
        <f t="shared" si="5"/>
        <v>150</v>
      </c>
      <c r="G23" s="62" t="s">
        <v>19</v>
      </c>
      <c r="H23" s="84"/>
    </row>
    <row r="24" ht="22.5" customHeight="1">
      <c r="A24" s="17" t="s">
        <v>120</v>
      </c>
      <c r="B24" s="17"/>
      <c r="C24" s="65"/>
      <c r="D24" s="58">
        <v>4.0</v>
      </c>
      <c r="E24" s="81">
        <v>150.0</v>
      </c>
      <c r="F24" s="82">
        <f t="shared" si="5"/>
        <v>600</v>
      </c>
      <c r="G24" s="62" t="s">
        <v>19</v>
      </c>
      <c r="H24" s="84"/>
    </row>
    <row r="25" ht="22.5" customHeight="1">
      <c r="A25" s="17" t="s">
        <v>121</v>
      </c>
      <c r="B25" s="17" t="s">
        <v>122</v>
      </c>
      <c r="C25" s="65"/>
      <c r="D25" s="58">
        <v>5.0</v>
      </c>
      <c r="E25" s="81">
        <v>150.0</v>
      </c>
      <c r="F25" s="82">
        <f t="shared" si="5"/>
        <v>750</v>
      </c>
      <c r="G25" s="62"/>
      <c r="H25" s="84"/>
    </row>
    <row r="26">
      <c r="A26" s="66"/>
      <c r="B26" s="67"/>
      <c r="C26" s="67"/>
      <c r="D26" s="67"/>
      <c r="E26" s="68"/>
      <c r="F26" s="68"/>
      <c r="G26" s="66"/>
      <c r="H26" s="66"/>
    </row>
    <row r="27">
      <c r="A27" s="93" t="s">
        <v>39</v>
      </c>
      <c r="G27" s="66"/>
      <c r="H27" s="66"/>
    </row>
    <row r="28">
      <c r="A28" s="94"/>
      <c r="G28" s="66"/>
      <c r="H28" s="66"/>
    </row>
    <row r="29">
      <c r="A29" s="94"/>
      <c r="G29" s="66"/>
      <c r="H29" s="66"/>
    </row>
    <row r="30">
      <c r="A30" s="95"/>
      <c r="G30" s="66"/>
      <c r="H30" s="66"/>
    </row>
    <row r="31">
      <c r="A31" s="66"/>
      <c r="B31" s="67"/>
      <c r="C31" s="67"/>
      <c r="D31" s="67"/>
      <c r="E31" s="68"/>
      <c r="F31" s="68"/>
      <c r="G31" s="66"/>
      <c r="H31" s="66"/>
    </row>
  </sheetData>
  <mergeCells count="4">
    <mergeCell ref="A27:F27"/>
    <mergeCell ref="A28:F28"/>
    <mergeCell ref="A29:F29"/>
    <mergeCell ref="A30:F30"/>
  </mergeCells>
  <dataValidations>
    <dataValidation type="list" allowBlank="1" sqref="G2:G25">
      <formula1>"Creative Design"</formula1>
    </dataValidation>
    <dataValidation type="list" allowBlank="1" sqref="C2:C25">
      <formula1>"Erin,Nick,Deb"</formula1>
    </dataValidation>
    <dataValidation type="custom" allowBlank="1" showDropDown="1" sqref="E2:F25">
      <formula1>AND(ISNUMBER(E2),(NOT(OR(NOT(ISERROR(DATEVALUE(E2))), AND(ISNUMBER(E2), LEFT(CELL("format", E2))="D")))))</formula1>
    </dataValidation>
  </dataValidations>
  <drawing r:id="rId1"/>
  <tableParts count="1">
    <tablePart r:id="rId3"/>
  </tableParts>
</worksheet>
</file>