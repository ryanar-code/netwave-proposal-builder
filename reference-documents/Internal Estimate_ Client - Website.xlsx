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sheetId="1" r:id="rId5"/>
    <sheet state="visible" name="Hosting and Maintenance" sheetId="2" r:id="rId6"/>
    <sheet state="visible" name="Account Service" sheetId="3" r:id="rId7"/>
    <sheet state="visible" name="Scope Additions" sheetId="4" r:id="rId8"/>
  </sheets>
  <definedNames>
    <definedName hidden="1" localSheetId="0" name="Z_918FA4EB_0BB9_4F2F_A1B5_3AF4D23A67C5_.wvu.FilterData">Website!$A$14:$I$60</definedName>
    <definedName hidden="1" localSheetId="0" name="Z_9D30ADFE_2059_4FDC_A53A_E96789934B3F_.wvu.FilterData">Website!$A$14:$I$60</definedName>
  </definedNames>
  <calcPr/>
  <customWorkbookViews>
    <customWorkbookView activeSheetId="0" maximized="1" windowHeight="0" windowWidth="0" guid="{918FA4EB-0BB9-4F2F-A1B5-3AF4D23A67C5}" name="Group by Activity"/>
    <customWorkbookView activeSheetId="0" maximized="1" windowHeight="0" windowWidth="0" guid="{9D30ADFE-2059-4FDC-A53A-E96789934B3F}" name="Group by Phase"/>
  </customWorkbookViews>
</workbook>
</file>

<file path=xl/sharedStrings.xml><?xml version="1.0" encoding="utf-8"?>
<sst xmlns="http://schemas.openxmlformats.org/spreadsheetml/2006/main" count="339" uniqueCount="160">
  <si>
    <t>Internal Estimate</t>
  </si>
  <si>
    <t>Client:</t>
  </si>
  <si>
    <t>TBD</t>
  </si>
  <si>
    <t>Project:</t>
  </si>
  <si>
    <t>Date Estimated:</t>
  </si>
  <si>
    <t>Phase</t>
  </si>
  <si>
    <t>Activity</t>
  </si>
  <si>
    <t>Scope of Work</t>
  </si>
  <si>
    <t>Description</t>
  </si>
  <si>
    <t>Team</t>
  </si>
  <si>
    <t>Hours</t>
  </si>
  <si>
    <t>Rate</t>
  </si>
  <si>
    <t>Total</t>
  </si>
  <si>
    <t>Notes</t>
  </si>
  <si>
    <t>Phase 1</t>
  </si>
  <si>
    <t>Account Service</t>
  </si>
  <si>
    <t>Internal Project Kickoff</t>
  </si>
  <si>
    <t xml:space="preserve">Time allocated for the internal team to align on project objectives, deliverables, timelines, and roles before beginning work. </t>
  </si>
  <si>
    <t>This should include Kellie, the account manager and the web team. This call should be limited to 30 or 45 minutes depending on the scope.</t>
  </si>
  <si>
    <t>Creative Direction</t>
  </si>
  <si>
    <t>Prep for Client Kickoff Call</t>
  </si>
  <si>
    <t>Conduct industry research, analyze competitors, and gather design inspiration. Review project brief and client-provided materials in preparation for the kickoff call.</t>
  </si>
  <si>
    <t>Nick</t>
  </si>
  <si>
    <t xml:space="preserve">This might be optional if Nick was involved in prior client conversations. </t>
  </si>
  <si>
    <t>Client Project Kickoff</t>
  </si>
  <si>
    <t>Meeting with client to align on goals, functionality and strategy for inspiration research.</t>
  </si>
  <si>
    <t xml:space="preserve">Indicate if this is a call or an in-person meeting and the duration. If in-person, include a new line for travel if more than 30+ minutes away. </t>
  </si>
  <si>
    <t>Research &amp; Inspiration</t>
  </si>
  <si>
    <t>Curate a selection of website links that embody different design options, each accompanied by a short description. These options are presented to the client in a Netwave branded document to gather feedback and refine the design direction.</t>
  </si>
  <si>
    <t>Research &amp; Inspiration Client Presentation</t>
  </si>
  <si>
    <t>Share the selected website links and descriptions with the client, allowing them to review and provide detailed feedback.</t>
  </si>
  <si>
    <t>Phase 1 Account Service</t>
  </si>
  <si>
    <t>Extra time padded for client communication and coordination to ensure project alignment, satisfaction, and success. This includes managing timelines, facilitating feedback, organizing meetings and emails, translating client needs to the internal team, and overseeing deliverables.</t>
  </si>
  <si>
    <t>Excludes meetings.</t>
  </si>
  <si>
    <t>Phase 2</t>
  </si>
  <si>
    <t>Internal Recap Call - Phase 2</t>
  </si>
  <si>
    <t>Time allocated for the internal team to align on project objectives, deliverables, timelines, and roles before beginning work.</t>
  </si>
  <si>
    <t>Copywriting</t>
  </si>
  <si>
    <t>Prep and calls with client point of contact, owner, and other stakeholders.</t>
  </si>
  <si>
    <t>Daniel</t>
  </si>
  <si>
    <t>Copywriting - REVISIONS</t>
  </si>
  <si>
    <t>Lightbox Creation or Brand Asset Review</t>
  </si>
  <si>
    <t>Time allocated to either curate a lightbox of stock images aligned with the client’s brand and project goals—using provided keywords, phrases, and visual guidelines—or to review and assess client-provided assets for quality, consistency, and suitability. This includes time for sourcing or reviewing, organizing, and presenting imagery for client approval prior to design.</t>
  </si>
  <si>
    <t>Website Design</t>
  </si>
  <si>
    <t>Website Stylesheet</t>
  </si>
  <si>
    <t>The stylesheet serves as the visual guide for the website’s design. Design a website stylesheet that includes the following elements:
- Typography (headers, body, links) 
- Color Palette
- Button Styles
- Form Styles
- Favicon</t>
  </si>
  <si>
    <t>Website Stylesheet - CLIENT PRESENTATION</t>
  </si>
  <si>
    <t xml:space="preserve">Present the stylesheet to the client for approval or revision feedback. </t>
  </si>
  <si>
    <t>Website Stylesheet - REVISIONS</t>
  </si>
  <si>
    <t>Website Wireframe</t>
  </si>
  <si>
    <t>The wireframe serves as the blueprint for the website’s design and functionality. Design a wireframe for the unique pages of the website that outlines the structure and layout, including elements such as navigation menus, content sections, image placements, buttons, and forms.
XX unique pages</t>
  </si>
  <si>
    <t>WordPress Only</t>
  </si>
  <si>
    <t>Website Wireframe - CLIENT PRESENTATION</t>
  </si>
  <si>
    <t>Present the wireframe to the client for approval or revision feedback.</t>
  </si>
  <si>
    <t xml:space="preserve">WordPress Only - Indicate if this is a call or an in-person meeting and the duration. If in-person, include a new line for travel if more than 30+ minutes away. </t>
  </si>
  <si>
    <t>Website Wireframe - REVISIONS</t>
  </si>
  <si>
    <t>Make 1 round of revisions to the website wireframe based on client feedback.</t>
  </si>
  <si>
    <t>Based on the approved stylesheet and wireframe, develop both low-fidelity and high-fidelity page mockups, focusing on layout, styling, and user experience.
Initial Design: Home page, one inside page
Remaining Unique Pages: XX total</t>
  </si>
  <si>
    <t>Website Design - CLIENT PRESENTATION</t>
  </si>
  <si>
    <t>Present initial page mockups to the client.</t>
  </si>
  <si>
    <t>Website Design - REVISIONS</t>
  </si>
  <si>
    <t xml:space="preserve">Two rounds overall:
- Initial Design, 1 round
- Remaining Unique Pages, 1 round </t>
  </si>
  <si>
    <t>Client Website Feedback Call</t>
  </si>
  <si>
    <t xml:space="preserve">Internal Website Feedback and Design Progress Call </t>
  </si>
  <si>
    <t xml:space="preserve">Creative Direction </t>
  </si>
  <si>
    <t xml:space="preserve">Oversee the creative of project from start to finish, ensuring every stage aligns with the established goals and vision. Monitor progress, review deliverables, and provide detailed feedback to the team.  </t>
  </si>
  <si>
    <t>Phase 2 Account Service</t>
  </si>
  <si>
    <t>Phase 3</t>
  </si>
  <si>
    <t>Internal Recap Call - Phase 3</t>
  </si>
  <si>
    <t>Website Development</t>
  </si>
  <si>
    <t>Initial Local Theme Development</t>
  </si>
  <si>
    <t>Set up and customize a WordPress theme in a local development environment to establish the foundation of the website.</t>
  </si>
  <si>
    <t>Christian</t>
  </si>
  <si>
    <t>Staging Environment Configuration</t>
  </si>
  <si>
    <t>Create a secure, online staging site to test and refine the website before launch.</t>
  </si>
  <si>
    <t>Develop Blog Section</t>
  </si>
  <si>
    <t>Building and configuring the blog section, including layout, post categories, and key features for seamless content management.</t>
  </si>
  <si>
    <t>Features + Micro Interaction Development</t>
  </si>
  <si>
    <t>Implementing custom functionality and subtle animations to enhance user experience and engagement.</t>
  </si>
  <si>
    <t>Theme Builder Compatability</t>
  </si>
  <si>
    <t>Develop custom theme files necessary for Elementor builder integration and code compatibility.</t>
  </si>
  <si>
    <t>Custom Feature TBD</t>
  </si>
  <si>
    <t>Optional</t>
  </si>
  <si>
    <t>Content Population</t>
  </si>
  <si>
    <t>Populate pages with finalized images and copy. Configure and test forms.
XX total pages
XX total posts, etc.</t>
  </si>
  <si>
    <t>Website Development - CLIENT FEEDBACK CALL</t>
  </si>
  <si>
    <t xml:space="preserve">Call to review website feedback with client. </t>
  </si>
  <si>
    <t>Website Development - REVISIONS</t>
  </si>
  <si>
    <t>Make up to 2 rounds of revisions based on client feedback, ensuring design and functionality align with project goals.</t>
  </si>
  <si>
    <t>Phase 3 Account Service</t>
  </si>
  <si>
    <t>Phase 4</t>
  </si>
  <si>
    <t>Launch Prep Call</t>
  </si>
  <si>
    <t xml:space="preserve">Call with the client to coordinate launch plans. </t>
  </si>
  <si>
    <t>Launch</t>
  </si>
  <si>
    <t>Launch website to hosting server (e.g., Configure SSL, DNS, Cache, image optimization, redirects, security)</t>
  </si>
  <si>
    <t>Production Management</t>
  </si>
  <si>
    <t>Squarespace Launch</t>
  </si>
  <si>
    <t>Purchase Squarespace subscription, connect domain name.</t>
  </si>
  <si>
    <t>Kellie</t>
  </si>
  <si>
    <t>Squarespace Only</t>
  </si>
  <si>
    <t>PDF Training Guide</t>
  </si>
  <si>
    <t>A customized, easy-to-follow guide covering key features and functionality of your new Squarespace website, ensuring your team can confidently manage content updates.</t>
  </si>
  <si>
    <t>Training Session</t>
  </si>
  <si>
    <t>A hands-on walkthrough of your new website, guiding your team through essential tasks like editing content, managing media, and using key plugins.</t>
  </si>
  <si>
    <t>Post Launch Quality Control</t>
  </si>
  <si>
    <t>Two week period to fix any bugs or issues on site. Including:
Spelling/grammar fixes
Updating or swapping out images
Changing wording or messaging on specific pages
Adjusting headings, CTAs, or button text
Changing colors, fonts, or spacing
Adjusting padding/margins
Swapping banner images or hero sections
Refining mobile or tablet responsiveness
Changing icon styles or graphics
Updating menu structure or labeling
Improving accessibility (contrast, alt text, keyboard navigation)
Editing contact forms &amp; routing
Fixing broken links or 404s
Improving page speed or optimizing images</t>
  </si>
  <si>
    <t>Phase 4 Account Service</t>
  </si>
  <si>
    <t>Squarespace Subscription</t>
  </si>
  <si>
    <t xml:space="preserve">Business Plan - Annual Renewal
The Squarespace subscription will be purchased by Netwave under our main account. We will bill the client the gross amount. Subscriptions are due in full prior to site launch.					</t>
  </si>
  <si>
    <t>Phase Padding</t>
  </si>
  <si>
    <t>Oversight of the website project from initiation through final delivery. This includes task scheduling, timeline management, resource coordination, internal workflow tracking, quality control, and ensuring all project milestones are met.</t>
  </si>
  <si>
    <t>Kellie, Cassidy</t>
  </si>
  <si>
    <t>Formulating New Business</t>
  </si>
  <si>
    <t>Time dedicated to researching, strategizing, and preparing materials to pursue new business opportunities. This includes discovery, proposal development, estimating, internal planning, and presentation efforts aimed at securing new client partnerships or expanding existing relationships.</t>
  </si>
  <si>
    <t>Service</t>
  </si>
  <si>
    <t>Monthly</t>
  </si>
  <si>
    <t>Quarterly</t>
  </si>
  <si>
    <t>Annual</t>
  </si>
  <si>
    <t>Hosting</t>
  </si>
  <si>
    <t>Website hosting on Netwave’s dedicated cloud server.</t>
  </si>
  <si>
    <t>Monthly Website Maintenance</t>
  </si>
  <si>
    <t>Monthly, Netwave will make a backup of the latest version of website on our internal server, initiate a full website scan to check for threats / vulnerabilities, resolve vulnerabilities/errors, and provide a recap report.</t>
  </si>
  <si>
    <t>Quarterly Website Maintenance</t>
  </si>
  <si>
    <t>Quarterly, Netwave will make a backup of the latest version of website on our internal server, initiate a full website scan to check for threats / vulnerabilities, resolve vulnerabilities/errors, and provide a recap report.</t>
  </si>
  <si>
    <t>Hosting and Maintenance Total</t>
  </si>
  <si>
    <t>Notes:</t>
  </si>
  <si>
    <t xml:space="preserve">Maintenance and hosting are billed quarterly in advanced. </t>
  </si>
  <si>
    <r>
      <rPr>
        <rFont val="DM Sans"/>
        <sz val="11.0"/>
      </rPr>
      <t>Hosting and Maintenance proposal template can be found here:</t>
    </r>
    <r>
      <rPr>
        <rFont val="DM Sans"/>
        <color rgb="FF00E2FF"/>
        <sz val="11.0"/>
      </rPr>
      <t xml:space="preserve"> </t>
    </r>
    <r>
      <rPr>
        <rFont val="DM Sans"/>
        <color rgb="FF00E2FF"/>
        <sz val="11.0"/>
        <u/>
      </rPr>
      <t>https://docs.google.com/document/d/1wwSjDZeC7cff-fwTMSExR9ql5CFLxXMCrWQBFm4HlY0/edit#</t>
    </r>
  </si>
  <si>
    <t>2 hours per month</t>
  </si>
  <si>
    <t>3 hours per month</t>
  </si>
  <si>
    <t>Meeting</t>
  </si>
  <si>
    <t>Type</t>
  </si>
  <si>
    <t>Duration / Hours</t>
  </si>
  <si>
    <t>Client Project Kickoff Meeting</t>
  </si>
  <si>
    <t>Client Inspiration and UX Planning Presentation</t>
  </si>
  <si>
    <t xml:space="preserve">Internal Design &amp; UX Recap Call </t>
  </si>
  <si>
    <t>Buffer</t>
  </si>
  <si>
    <t xml:space="preserve">Internal Recap Call </t>
  </si>
  <si>
    <t>Client Website Stylesheet &amp; Wireframe Presentation</t>
  </si>
  <si>
    <t>Client Website Design Presentation</t>
  </si>
  <si>
    <t xml:space="preserve">Client Website Development Presentation </t>
  </si>
  <si>
    <t>Client Website Development Feedback Call</t>
  </si>
  <si>
    <t xml:space="preserve">Internal Development Progress Call </t>
  </si>
  <si>
    <t xml:space="preserve">Client Website Launch Planning Call </t>
  </si>
  <si>
    <t xml:space="preserve">Internal Website Launch Checklist Call </t>
  </si>
  <si>
    <t>Date Requested</t>
  </si>
  <si>
    <t>Scope Addition</t>
  </si>
  <si>
    <t>Status</t>
  </si>
  <si>
    <t>Added to BigTime</t>
  </si>
  <si>
    <t>Asana Reference</t>
  </si>
  <si>
    <t>Signed Agreement</t>
  </si>
  <si>
    <t>[link to Asana task]</t>
  </si>
  <si>
    <t>ORIGINAL TOTAL</t>
  </si>
  <si>
    <t>NEW TOTAL WITH ADDITIONS</t>
  </si>
  <si>
    <t>Website Change Order Agreement: Client</t>
  </si>
  <si>
    <r>
      <rPr>
        <rFont val="DM Sans"/>
        <color theme="1"/>
        <sz val="9.0"/>
      </rPr>
      <t xml:space="preserve">Once scope additions total </t>
    </r>
    <r>
      <rPr>
        <rFont val="DM Sans"/>
        <b/>
        <color theme="1"/>
        <sz val="9.0"/>
      </rPr>
      <t xml:space="preserve">$1,000 </t>
    </r>
    <r>
      <rPr>
        <rFont val="DM Sans"/>
        <color theme="1"/>
        <sz val="9.0"/>
      </rPr>
      <t>complete a website change order agreement and send to Alice and the Account Manager.</t>
    </r>
  </si>
  <si>
    <t>Change Timeframe</t>
  </si>
  <si>
    <t>Agreement</t>
  </si>
  <si>
    <t>Date Signed</t>
  </si>
  <si>
    <t>[link to change order agreement]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</si>
</sst>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11">
    <font>
      <sz val="10.0"/>
      <color rgb="FF000000"/>
      <name val="Arial"/>
      <scheme val="minor"/>
    </font>
    <font>
      <b/>
      <sz val="36.0"/>
      <color theme="1"/>
      <name val="DM Sans"/>
    </font>
    <font>
      <b/>
      <sz val="11.0"/>
      <color theme="1"/>
      <name val="DM Sans"/>
    </font>
    <font>
      <color theme="1"/>
      <name val="Arial"/>
    </font>
    <font>
      <sz val="11.0"/>
      <color theme="1"/>
      <name val="DM Sans"/>
    </font>
    <font>
      <sz val="9.0"/>
      <color theme="1"/>
      <name val="DM Sans"/>
    </font>
    <font>
      <b/>
      <sz val="9.0"/>
      <color theme="1"/>
      <name val="DM Sans"/>
    </font>
    <font>
      <b/>
      <sz val="9.0"/>
      <color rgb="FF000000"/>
      <name val="DM Sans"/>
    </font>
    <font>
      <sz val="9.0"/>
      <color rgb="FF000000"/>
      <name val="DM Sans"/>
    </font>
    <font>
      <u/>
      <sz val="11.0"/>
      <color rgb="FF0000FF"/>
      <name val="DM Sans"/>
    </font>
    <font>
      <b/>
      <u/>
      <sz val="9.0"/>
      <color theme="1"/>
      <name val="DM Sans"/>
    </font>
  </fonts>
  <fills count="6">
    <fill>
      <patternFill patternType="none"/>
    </fill>
    <fill>
      <patternFill patternType="lightGray"/>
    </fill>
    <fill>
      <patternFill patternType="solid">
        <fgColor rgb="FF00E2FF"/>
        <bgColor rgb="FF00E2FF"/>
      </patternFill>
    </fill>
    <fill>
      <patternFill patternType="solid">
        <fgColor rgb="FFF6F8F9"/>
        <bgColor rgb="FFF6F8F9"/>
      </patternFill>
    </fill>
    <fill>
      <patternFill patternType="solid">
        <fgColor rgb="FFF1F1F5"/>
        <bgColor rgb="FFF1F1F5"/>
      </patternFill>
    </fill>
    <fill>
      <patternFill patternType="solid">
        <fgColor rgb="FFBFF8FF"/>
        <bgColor rgb="FFBFF8FF"/>
      </patternFill>
    </fill>
  </fills>
  <borders count="1">
    <border/>
  </borders>
  <cellStyleXfs count="1">
    <xf borderId="0" fillId="0" fontId="0" numFmtId="0" applyAlignment="1" applyFont="1"/>
  </cellStyleXfs>
  <cellXfs count="108">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shrinkToFit="0" wrapText="1"/>
    </xf>
    <xf borderId="0" fillId="0" fontId="2" numFmtId="0" xfId="0" applyAlignment="1" applyFont="1">
      <alignment readingOrder="0" shrinkToFit="0" vertical="center" wrapText="1"/>
    </xf>
    <xf borderId="0" fillId="0" fontId="3" numFmtId="0" xfId="0" applyAlignment="1" applyFont="1">
      <alignment vertical="center"/>
    </xf>
    <xf borderId="0" fillId="0" fontId="3" numFmtId="0" xfId="0" applyAlignment="1" applyFont="1">
      <alignment vertical="center"/>
    </xf>
    <xf borderId="0" fillId="0" fontId="3" numFmtId="0" xfId="0" applyAlignment="1" applyFont="1">
      <alignment horizontal="center" vertical="center"/>
    </xf>
    <xf borderId="0" fillId="0" fontId="3" numFmtId="164" xfId="0" applyFont="1" applyNumberFormat="1"/>
    <xf borderId="0" fillId="0" fontId="3" numFmtId="164" xfId="0" applyAlignment="1" applyFont="1" applyNumberFormat="1">
      <alignment vertical="bottom"/>
    </xf>
    <xf borderId="0" fillId="0" fontId="4" numFmtId="0" xfId="0" applyAlignment="1" applyFont="1">
      <alignment shrinkToFit="0" vertical="center" wrapText="1"/>
    </xf>
    <xf borderId="0" fillId="2" fontId="2" numFmtId="0" xfId="0" applyAlignment="1" applyFill="1" applyFont="1">
      <alignment shrinkToFit="0" vertical="center" wrapText="1"/>
    </xf>
    <xf borderId="0" fillId="0" fontId="4" numFmtId="0" xfId="0" applyAlignment="1" applyFont="1">
      <alignment shrinkToFit="0" wrapText="1"/>
    </xf>
    <xf borderId="0" fillId="0" fontId="3" numFmtId="0" xfId="0" applyAlignment="1" applyFont="1">
      <alignment horizontal="center" vertical="center"/>
    </xf>
    <xf borderId="0" fillId="0" fontId="2" numFmtId="0" xfId="0" applyAlignment="1" applyFont="1">
      <alignment shrinkToFit="0" vertical="center" wrapText="1"/>
    </xf>
    <xf borderId="0" fillId="0" fontId="3" numFmtId="164" xfId="0" applyAlignment="1" applyFont="1" applyNumberFormat="1">
      <alignment horizontal="center" vertical="center"/>
    </xf>
    <xf borderId="0" fillId="0" fontId="3" numFmtId="0" xfId="0" applyFont="1"/>
    <xf borderId="0" fillId="0" fontId="3" numFmtId="49" xfId="0" applyFont="1" applyNumberFormat="1"/>
    <xf borderId="0" fillId="0" fontId="3" numFmtId="0" xfId="0" applyAlignment="1" applyFont="1">
      <alignment vertical="bottom"/>
    </xf>
    <xf borderId="0" fillId="0" fontId="3" numFmtId="49" xfId="0" applyAlignment="1" applyFont="1" applyNumberFormat="1">
      <alignment vertical="bottom"/>
    </xf>
    <xf borderId="0" fillId="0" fontId="2" numFmtId="49" xfId="0" applyAlignment="1" applyFont="1" applyNumberFormat="1">
      <alignment readingOrder="0" shrinkToFit="0" vertical="center" wrapText="1"/>
    </xf>
    <xf borderId="0" fillId="0" fontId="2" numFmtId="0" xfId="0" applyAlignment="1" applyFont="1">
      <alignment horizontal="left" readingOrder="0" vertical="center"/>
    </xf>
    <xf borderId="0" fillId="0" fontId="2" numFmtId="0" xfId="0" applyAlignment="1" applyFont="1">
      <alignment horizontal="center" readingOrder="0" vertical="center"/>
    </xf>
    <xf borderId="0" fillId="0" fontId="2" numFmtId="164" xfId="0" applyAlignment="1" applyFont="1" applyNumberFormat="1">
      <alignment horizontal="center" readingOrder="0" vertical="center"/>
    </xf>
    <xf borderId="0" fillId="0" fontId="2" numFmtId="0" xfId="0" applyAlignment="1" applyFont="1">
      <alignment horizontal="left" readingOrder="0" shrinkToFit="0" vertical="center" wrapText="1"/>
    </xf>
    <xf borderId="0" fillId="0" fontId="2" numFmtId="49" xfId="0" applyAlignment="1" applyFont="1" applyNumberFormat="1">
      <alignment horizontal="left"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164" xfId="0" applyAlignment="1" applyFont="1" applyNumberFormat="1">
      <alignment horizontal="center" readingOrder="0" shrinkToFit="0" vertical="center" wrapText="0"/>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center" readingOrder="0" shrinkToFit="0" vertical="center" wrapText="1"/>
    </xf>
    <xf borderId="0" fillId="0" fontId="5" numFmtId="164" xfId="0" applyAlignment="1" applyFont="1" applyNumberFormat="1">
      <alignment horizontal="center" readingOrder="0" shrinkToFit="0" vertical="center" wrapText="1"/>
    </xf>
    <xf borderId="0" fillId="0" fontId="5" numFmtId="0" xfId="0" applyAlignment="1" applyFont="1">
      <alignment readingOrder="0" shrinkToFit="0" vertical="center" wrapText="0"/>
    </xf>
    <xf borderId="0" fillId="0" fontId="5" numFmtId="164" xfId="0" applyAlignment="1" applyFont="1" applyNumberFormat="1">
      <alignment horizontal="center" shrinkToFit="0" vertical="center" wrapText="1"/>
    </xf>
    <xf borderId="0" fillId="0" fontId="5" numFmtId="0" xfId="0" applyAlignment="1" applyFont="1">
      <alignment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0"/>
    </xf>
    <xf borderId="0" fillId="0" fontId="5" numFmtId="0" xfId="0" applyAlignment="1" applyFont="1">
      <alignment horizontal="center" shrinkToFit="0" vertical="center" wrapText="1"/>
    </xf>
    <xf borderId="0" fillId="3" fontId="5" numFmtId="0" xfId="0" applyAlignment="1" applyFill="1" applyFont="1">
      <alignment shrinkToFit="0" vertical="center" wrapText="1"/>
    </xf>
    <xf borderId="0" fillId="3" fontId="5" numFmtId="0" xfId="0" applyAlignment="1" applyFont="1">
      <alignment readingOrder="0" shrinkToFit="0" vertical="center" wrapText="1"/>
    </xf>
    <xf borderId="0" fillId="3" fontId="5" numFmtId="0" xfId="0" applyAlignment="1" applyFont="1">
      <alignment shrinkToFit="0" vertical="center" wrapText="1"/>
    </xf>
    <xf borderId="0" fillId="3" fontId="5" numFmtId="0" xfId="0" applyAlignment="1" applyFont="1">
      <alignment horizontal="center" shrinkToFit="0" vertical="center" wrapText="1"/>
    </xf>
    <xf borderId="0" fillId="3" fontId="5" numFmtId="164" xfId="0" applyAlignment="1" applyFont="1" applyNumberFormat="1">
      <alignment horizontal="center" shrinkToFit="0" vertical="center" wrapText="1"/>
    </xf>
    <xf borderId="0" fillId="3" fontId="5"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shrinkToFit="0" vertical="center" wrapText="1"/>
    </xf>
    <xf borderId="0" fillId="0" fontId="5" numFmtId="0" xfId="0" applyAlignment="1" applyFont="1">
      <alignment horizontal="center" readingOrder="0" shrinkToFit="0" vertical="center" wrapText="1"/>
    </xf>
    <xf borderId="0" fillId="0" fontId="5" numFmtId="164" xfId="0" applyAlignment="1" applyFont="1" applyNumberFormat="1">
      <alignment horizontal="center" readingOrder="0" shrinkToFit="0" vertical="center" wrapText="1"/>
    </xf>
    <xf borderId="0" fillId="0" fontId="6" numFmtId="164" xfId="0" applyAlignment="1" applyFont="1" applyNumberFormat="1">
      <alignment horizontal="center" readingOrder="0" shrinkToFit="0" vertical="center" wrapText="1"/>
    </xf>
    <xf borderId="0" fillId="0" fontId="5" numFmtId="0" xfId="0" applyAlignment="1" applyFont="1">
      <alignment horizontal="center" shrinkToFit="0" vertical="center" wrapText="1"/>
    </xf>
    <xf borderId="0" fillId="0" fontId="5" numFmtId="164" xfId="0" applyAlignment="1" applyFont="1" applyNumberFormat="1">
      <alignment horizontal="center" shrinkToFit="0" vertical="center" wrapText="1"/>
    </xf>
    <xf borderId="0" fillId="0" fontId="5" numFmtId="0" xfId="0" applyAlignment="1" applyFont="1">
      <alignment shrinkToFit="0" vertical="center" wrapText="1"/>
    </xf>
    <xf borderId="0" fillId="0" fontId="4" numFmtId="0" xfId="0" applyAlignment="1" applyFont="1">
      <alignment vertical="center"/>
    </xf>
    <xf borderId="0" fillId="0" fontId="4" numFmtId="0" xfId="0" applyAlignment="1" applyFont="1">
      <alignment shrinkToFit="0" vertical="center" wrapText="1"/>
    </xf>
    <xf borderId="0" fillId="0" fontId="4" numFmtId="0" xfId="0" applyAlignment="1" applyFont="1">
      <alignment horizontal="center" vertical="center"/>
    </xf>
    <xf borderId="0" fillId="0" fontId="2"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8" numFmtId="164" xfId="0" applyAlignment="1" applyFont="1" applyNumberFormat="1">
      <alignment horizontal="center" readingOrder="0" shrinkToFit="0" vertical="center" wrapText="0"/>
    </xf>
    <xf borderId="0" fillId="0" fontId="8" numFmtId="0" xfId="0" applyAlignment="1" applyFont="1">
      <alignment horizontal="center" readingOrder="0" shrinkToFit="0" vertical="center" wrapText="0"/>
    </xf>
    <xf borderId="0" fillId="0" fontId="8" numFmtId="0" xfId="0" applyAlignment="1" applyFont="1">
      <alignment horizontal="center" readingOrder="0" shrinkToFit="0" vertical="center" wrapText="0"/>
    </xf>
    <xf borderId="0" fillId="0" fontId="7" numFmtId="0" xfId="0" applyAlignment="1" applyFont="1">
      <alignment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center" readingOrder="0" shrinkToFit="0" vertical="center" wrapText="0"/>
    </xf>
    <xf borderId="0" fillId="0" fontId="8" numFmtId="0" xfId="0" applyAlignment="1" applyFont="1">
      <alignment horizontal="center" readingOrder="0" shrinkToFit="0" vertical="center" wrapText="0"/>
    </xf>
    <xf borderId="0" fillId="4" fontId="2" numFmtId="0" xfId="0" applyAlignment="1" applyFill="1" applyFont="1">
      <alignment shrinkToFit="0" vertical="center" wrapText="1"/>
    </xf>
    <xf borderId="0" fillId="4" fontId="4" numFmtId="0" xfId="0" applyAlignment="1" applyFont="1">
      <alignment readingOrder="0" shrinkToFit="0" vertical="center" wrapText="1"/>
    </xf>
    <xf borderId="0" fillId="4" fontId="9" numFmtId="0" xfId="0" applyAlignment="1" applyFont="1">
      <alignment shrinkToFit="0" vertical="center" wrapText="1"/>
    </xf>
    <xf borderId="0" fillId="0" fontId="6" numFmtId="0" xfId="0" applyAlignment="1" applyFont="1">
      <alignment horizontal="center" vertical="center"/>
    </xf>
    <xf borderId="0" fillId="0" fontId="6" numFmtId="0" xfId="0" applyAlignment="1" applyFont="1">
      <alignment horizontal="center" readingOrder="0" shrinkToFit="0" vertical="center" wrapText="1"/>
    </xf>
    <xf borderId="0" fillId="0" fontId="5" numFmtId="164" xfId="0" applyAlignment="1" applyFont="1" applyNumberFormat="1">
      <alignment horizontal="center" readingOrder="0" shrinkToFit="0" vertical="center" wrapText="1"/>
    </xf>
    <xf borderId="0" fillId="0" fontId="6" numFmtId="164" xfId="0" applyAlignment="1" applyFont="1" applyNumberFormat="1">
      <alignment horizontal="center" readingOrder="0" shrinkToFit="0" vertical="center" wrapText="1"/>
    </xf>
    <xf borderId="0" fillId="0" fontId="6" numFmtId="0" xfId="0" applyAlignment="1" applyFont="1">
      <alignment horizontal="left" readingOrder="0" shrinkToFit="0" vertical="center" wrapText="1"/>
    </xf>
    <xf borderId="0" fillId="0" fontId="5" numFmtId="0" xfId="0" applyAlignment="1" applyFont="1">
      <alignment shrinkToFit="0" vertical="center" wrapText="1"/>
    </xf>
    <xf borderId="0" fillId="0" fontId="5" numFmtId="0" xfId="0" applyAlignment="1" applyFont="1">
      <alignment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left" readingOrder="0" shrinkToFit="0" vertical="center" wrapText="0"/>
    </xf>
    <xf borderId="0" fillId="0" fontId="6" numFmtId="0" xfId="0" applyAlignment="1" applyFont="1">
      <alignment horizontal="center" readingOrder="0" shrinkToFit="0" vertical="center" wrapText="0"/>
    </xf>
    <xf borderId="0" fillId="0" fontId="5" numFmtId="0" xfId="0" applyAlignment="1" applyFont="1">
      <alignment horizontal="left" readingOrder="0" shrinkToFit="0" vertical="center" wrapText="1"/>
    </xf>
    <xf borderId="0" fillId="0" fontId="5" numFmtId="0" xfId="0" applyAlignment="1" applyFont="1">
      <alignment horizontal="left" readingOrder="0" shrinkToFit="0" vertical="center" wrapText="0"/>
    </xf>
    <xf borderId="0" fillId="0" fontId="5" numFmtId="0" xfId="0" applyAlignment="1" applyFont="1">
      <alignment horizontal="center" readingOrder="0" shrinkToFit="0" vertical="center" wrapText="0"/>
    </xf>
    <xf borderId="0" fillId="0" fontId="5" numFmtId="164" xfId="0" applyAlignment="1" applyFont="1" applyNumberFormat="1">
      <alignment horizontal="center" readingOrder="0" shrinkToFit="0" vertical="center" wrapText="0"/>
    </xf>
    <xf borderId="0" fillId="0" fontId="5" numFmtId="0" xfId="0" applyAlignment="1" applyFont="1">
      <alignment horizontal="center" shrinkToFit="0" vertical="center" wrapText="0"/>
    </xf>
    <xf borderId="0" fillId="0" fontId="5" numFmtId="0" xfId="0" applyAlignment="1" applyFont="1">
      <alignment horizontal="left" shrinkToFit="0" vertical="center" wrapText="0"/>
    </xf>
    <xf borderId="0" fillId="0" fontId="5" numFmtId="0" xfId="0" applyAlignment="1" applyFont="1">
      <alignment horizontal="left" shrinkToFit="0" vertical="center" wrapText="1"/>
    </xf>
    <xf borderId="0" fillId="0" fontId="5" numFmtId="0" xfId="0" applyAlignment="1" applyFont="1">
      <alignment horizontal="left" shrinkToFit="0" vertical="center" wrapText="0"/>
    </xf>
    <xf borderId="0" fillId="0" fontId="5" numFmtId="0" xfId="0" applyAlignment="1" applyFont="1">
      <alignment horizontal="center" readingOrder="0" shrinkToFit="0" vertical="center" wrapText="0"/>
    </xf>
    <xf borderId="0" fillId="0" fontId="5" numFmtId="164" xfId="0" applyAlignment="1" applyFont="1" applyNumberFormat="1">
      <alignment horizontal="center" readingOrder="0" shrinkToFit="0" vertical="center" wrapText="0"/>
    </xf>
    <xf borderId="0" fillId="0" fontId="5" numFmtId="0" xfId="0" applyAlignment="1" applyFont="1">
      <alignment horizontal="left" shrinkToFit="0" vertical="center" wrapText="1"/>
    </xf>
    <xf borderId="0" fillId="0" fontId="5" numFmtId="0" xfId="0" applyAlignment="1" applyFont="1">
      <alignment horizontal="left" vertical="center"/>
    </xf>
    <xf borderId="0" fillId="0" fontId="5" numFmtId="0" xfId="0" applyAlignment="1" applyFont="1">
      <alignment horizontal="center" vertical="center"/>
    </xf>
    <xf borderId="0" fillId="2" fontId="6" numFmtId="0" xfId="0" applyAlignment="1" applyFont="1">
      <alignment horizontal="left" readingOrder="0" shrinkToFit="0" vertical="center" wrapText="1"/>
    </xf>
    <xf borderId="0" fillId="2" fontId="6" numFmtId="0" xfId="0" applyAlignment="1" applyFont="1">
      <alignment horizontal="left" vertical="center"/>
    </xf>
    <xf borderId="0" fillId="2" fontId="6" numFmtId="0" xfId="0" applyAlignment="1" applyFont="1">
      <alignment horizontal="center" vertical="center"/>
    </xf>
    <xf borderId="0" fillId="2" fontId="6" numFmtId="164" xfId="0" applyAlignment="1" applyFont="1" applyNumberFormat="1">
      <alignment horizontal="center" vertical="center"/>
    </xf>
    <xf borderId="0" fillId="2" fontId="6" numFmtId="164" xfId="0" applyAlignment="1" applyFont="1" applyNumberFormat="1">
      <alignment horizontal="center" readingOrder="0" vertical="center"/>
    </xf>
    <xf borderId="0" fillId="4" fontId="10" numFmtId="0" xfId="0" applyAlignment="1" applyFont="1">
      <alignment horizontal="left" readingOrder="0" shrinkToFit="0" vertical="center" wrapText="1"/>
    </xf>
    <xf borderId="0" fillId="4" fontId="6" numFmtId="0" xfId="0" applyAlignment="1" applyFont="1">
      <alignment horizontal="left" readingOrder="0" shrinkToFit="0" vertical="center" wrapText="1"/>
    </xf>
    <xf borderId="0" fillId="4" fontId="5" numFmtId="0" xfId="0" applyAlignment="1" applyFont="1">
      <alignment horizontal="left" readingOrder="0" shrinkToFit="0" vertical="center" wrapText="1"/>
    </xf>
    <xf borderId="0" fillId="5" fontId="6" numFmtId="0" xfId="0" applyAlignment="1" applyFill="1" applyFont="1">
      <alignment horizontal="left" readingOrder="0" shrinkToFit="0" vertical="center" wrapText="1"/>
    </xf>
    <xf borderId="0" fillId="5" fontId="6" numFmtId="0" xfId="0" applyAlignment="1" applyFont="1">
      <alignment horizontal="left" readingOrder="0" vertical="center"/>
    </xf>
    <xf borderId="0" fillId="0" fontId="6" numFmtId="0" xfId="0" applyAlignment="1" applyFont="1">
      <alignment horizontal="left" vertical="center"/>
    </xf>
    <xf borderId="0" fillId="0" fontId="5" numFmtId="0" xfId="0" applyAlignment="1" applyFont="1">
      <alignment horizontal="left" readingOrder="0" vertical="center"/>
    </xf>
    <xf borderId="0" fillId="0" fontId="5" numFmtId="164" xfId="0" applyAlignment="1" applyFont="1" applyNumberFormat="1">
      <alignment horizontal="center" vertical="center"/>
    </xf>
  </cellXfs>
  <cellStyles count="1">
    <cellStyle xfId="0" name="Normal" builtinId="0"/>
  </cellStyles>
  <dxfs count="7">
    <dxf>
      <font/>
      <fill>
        <patternFill patternType="none"/>
      </fill>
      <border/>
    </dxf>
    <dxf>
      <font/>
      <fill>
        <patternFill patternType="solid">
          <fgColor rgb="FF00E2FF"/>
          <bgColor rgb="FF00E2FF"/>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FF7FF"/>
          <bgColor rgb="FFBFF7FF"/>
        </patternFill>
      </fill>
      <border/>
    </dxf>
    <dxf>
      <border>
        <left style="thin">
          <color rgb="FF00E2FF"/>
        </left>
        <right style="thin">
          <color rgb="FF00E2FF"/>
        </right>
        <top style="thin">
          <color rgb="FF00E2FF"/>
        </top>
        <bottom style="thin">
          <color rgb="FF00E2FF"/>
        </bottom>
      </border>
    </dxf>
    <dxf>
      <font/>
      <fill>
        <patternFill patternType="solid">
          <fgColor rgb="FFBFF8FF"/>
          <bgColor rgb="FFBFF8FF"/>
        </patternFill>
      </fill>
      <border/>
    </dxf>
  </dxfs>
  <tableStyles count="4">
    <tableStyle count="5" pivot="0" name="Website-style">
      <tableStyleElement dxfId="1" type="headerRow"/>
      <tableStyleElement dxfId="2" type="firstRowStripe"/>
      <tableStyleElement dxfId="3" type="secondRowStripe"/>
      <tableStyleElement dxfId="4" type="totalRow"/>
      <tableStyleElement dxfId="5" size="0" type="wholeTable"/>
    </tableStyle>
    <tableStyle count="5" pivot="0" name="Hosting and Maintenance-style">
      <tableStyleElement dxfId="1" type="headerRow"/>
      <tableStyleElement dxfId="2" type="firstRowStripe"/>
      <tableStyleElement dxfId="3" type="secondRowStripe"/>
      <tableStyleElement dxfId="4" type="totalRow"/>
      <tableStyleElement dxfId="5" size="0" type="wholeTable"/>
    </tableStyle>
    <tableStyle count="4" pivot="0" name="Account Service-style">
      <tableStyleElement dxfId="1" type="headerRow"/>
      <tableStyleElement dxfId="2" type="firstRowStripe"/>
      <tableStyleElement dxfId="3" type="secondRowStripe"/>
      <tableStyleElement dxfId="5" size="0" type="wholeTable"/>
    </tableStyle>
    <tableStyle count="5" pivot="0" name="Scope Additions-style">
      <tableStyleElement dxfId="1" type="headerRow"/>
      <tableStyleElement dxfId="2" type="firstRowStripe"/>
      <tableStyleElement dxfId="3" type="secondRowStripe"/>
      <tableStyleElement dxfId="6"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totalsRowCount="1" ref="A14:I60" displayName="Master_Web" name="Master_Web" id="1">
  <tableColumns count="9">
    <tableColumn name="Phase" id="1"/>
    <tableColumn name="Activity" id="2"/>
    <tableColumn name="Scope of Work" id="3"/>
    <tableColumn name="Description" id="4"/>
    <tableColumn name="Team" id="5"/>
    <tableColumn name="Hours" id="6"/>
    <tableColumn name="Rate" id="7"/>
    <tableColumn totalsRowFunction="custom" name="Total" id="8"/>
    <tableColumn name="Notes" id="9"/>
  </tableColumns>
  <tableStyleInfo name="Website-style" showColumnStripes="0" showFirstColumn="1" showLastColumn="1" showRowStripes="1"/>
</table>
</file>

<file path=xl/tables/table2.xml><?xml version="1.0" encoding="utf-8"?>
<table xmlns="http://schemas.openxmlformats.org/spreadsheetml/2006/main" totalsRowCount="1" ref="A13:F17" displayName="Netwave_Hosting_and_Maintenance_2" name="Netwave_Hosting_and_Maintenance_2" id="2">
  <tableColumns count="6">
    <tableColumn totalsRowLabel="Hosting and Maintenance Total" name="Service" id="1"/>
    <tableColumn name="Description" id="2"/>
    <tableColumn name="Hours" id="3"/>
    <tableColumn name="Monthly" id="4"/>
    <tableColumn totalsRowFunction="custom" name="Quarterly" id="5"/>
    <tableColumn name="Annual" id="6"/>
  </tableColumns>
  <tableStyleInfo name="Hosting and Maintenance-style" showColumnStripes="0" showFirstColumn="1" showLastColumn="1" showRowStripes="1"/>
</table>
</file>

<file path=xl/tables/table3.xml><?xml version="1.0" encoding="utf-8"?>
<table xmlns="http://schemas.openxmlformats.org/spreadsheetml/2006/main" ref="A1:E20" displayName="Account_Service_and_Meeting_Cadence" name="Account_Service_and_Meeting_Cadence" id="3">
  <tableColumns count="5">
    <tableColumn name="Phase" id="1"/>
    <tableColumn name="Meeting" id="2"/>
    <tableColumn name="Type" id="3"/>
    <tableColumn name="Team" id="4"/>
    <tableColumn name="Duration / Hours" id="5"/>
  </tableColumns>
  <tableStyleInfo name="Account Service-style" showColumnStripes="0" showFirstColumn="1" showLastColumn="1" showRowStripes="1"/>
</table>
</file>

<file path=xl/tables/table4.xml><?xml version="1.0" encoding="utf-8"?>
<table xmlns="http://schemas.openxmlformats.org/spreadsheetml/2006/main" totalsRowCount="1" ref="A1:K4" displayName="Scope_Additions" name="Scope_Additions" id="4">
  <tableColumns count="11">
    <tableColumn name="Date Requested" id="1"/>
    <tableColumn name="Service" id="2"/>
    <tableColumn name="Scope Addition" id="3"/>
    <tableColumn name="Team" id="4"/>
    <tableColumn name="Hours" id="5"/>
    <tableColumn name="Rate" id="6"/>
    <tableColumn totalsRowFunction="custom" name="Total" id="7"/>
    <tableColumn name="Status" id="8"/>
    <tableColumn name="Added to BigTime" id="9"/>
    <tableColumn name="Asana Reference" id="10"/>
    <tableColumn name="Signed Agreement" id="11"/>
  </tableColumns>
  <tableStyleInfo name="Scope Addi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wwSjDZeC7cff-fwTMSExR9ql5CFLxXMCrWQBFm4HlY0/edit"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ij8EaW74vO8hCNSa-AJHVUkT4U7Dl5Iad668nxXw6WA/edit?tab=t.0"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88"/>
    <col customWidth="1" min="2" max="2" width="25.75"/>
    <col customWidth="1" min="3" max="3" width="27.63"/>
    <col customWidth="1" min="4" max="4" width="40.63"/>
    <col customWidth="1" min="5" max="5" width="13.63"/>
    <col customWidth="1" min="6" max="6" width="10.75"/>
    <col customWidth="1" min="7" max="7" width="12.75"/>
    <col customWidth="1" min="8" max="8" width="17.63"/>
    <col customWidth="1" min="9" max="9" width="33.38"/>
  </cols>
  <sheetData>
    <row r="1">
      <c r="A1" s="1" t="s">
        <v>0</v>
      </c>
      <c r="G1" s="2"/>
      <c r="H1" s="2"/>
      <c r="I1" s="3"/>
    </row>
    <row r="2">
      <c r="A2" s="4"/>
      <c r="B2" s="5"/>
      <c r="C2" s="5"/>
      <c r="D2" s="6"/>
      <c r="E2" s="6"/>
      <c r="F2" s="6"/>
      <c r="G2" s="7"/>
      <c r="H2" s="8"/>
      <c r="I2" s="3"/>
    </row>
    <row r="3">
      <c r="A3" s="9" t="s">
        <v>1</v>
      </c>
      <c r="B3" s="5"/>
      <c r="C3" s="4"/>
      <c r="D3" s="6"/>
      <c r="E3" s="6"/>
      <c r="F3" s="6"/>
      <c r="G3" s="7"/>
      <c r="H3" s="8"/>
      <c r="I3" s="3"/>
    </row>
    <row r="4">
      <c r="A4" s="10" t="s">
        <v>2</v>
      </c>
      <c r="B4" s="1"/>
      <c r="C4" s="1"/>
      <c r="D4" s="1"/>
      <c r="E4" s="1"/>
      <c r="F4" s="1"/>
      <c r="G4" s="11"/>
      <c r="H4" s="11"/>
      <c r="I4" s="3"/>
    </row>
    <row r="5">
      <c r="A5" s="5"/>
      <c r="B5" s="5"/>
      <c r="C5" s="5"/>
      <c r="D5" s="6"/>
      <c r="E5" s="6"/>
      <c r="F5" s="6"/>
      <c r="G5" s="7"/>
      <c r="H5" s="8"/>
      <c r="I5" s="3"/>
    </row>
    <row r="6">
      <c r="A6" s="9" t="s">
        <v>3</v>
      </c>
      <c r="B6" s="5"/>
      <c r="C6" s="4"/>
      <c r="D6" s="12"/>
      <c r="E6" s="12"/>
      <c r="F6" s="6"/>
      <c r="G6" s="7"/>
      <c r="H6" s="8"/>
      <c r="I6" s="3"/>
    </row>
    <row r="7">
      <c r="A7" s="13" t="s">
        <v>2</v>
      </c>
      <c r="B7" s="5"/>
      <c r="C7" s="4"/>
      <c r="D7" s="12"/>
      <c r="E7" s="14"/>
      <c r="F7" s="6"/>
      <c r="G7" s="11"/>
      <c r="H7" s="11"/>
      <c r="I7" s="3"/>
    </row>
    <row r="8">
      <c r="A8" s="5"/>
      <c r="B8" s="5"/>
      <c r="C8" s="4"/>
      <c r="D8" s="12"/>
      <c r="E8" s="14"/>
      <c r="F8" s="6"/>
      <c r="G8" s="7"/>
      <c r="H8" s="8"/>
      <c r="I8" s="3"/>
    </row>
    <row r="9">
      <c r="A9" s="9" t="s">
        <v>4</v>
      </c>
      <c r="B9" s="4"/>
      <c r="C9" s="4"/>
      <c r="D9" s="12"/>
      <c r="E9" s="12"/>
      <c r="F9" s="12"/>
      <c r="G9" s="7"/>
      <c r="H9" s="8"/>
      <c r="I9" s="3"/>
    </row>
    <row r="10">
      <c r="A10" s="13" t="s">
        <v>2</v>
      </c>
      <c r="B10" s="4"/>
      <c r="C10" s="4"/>
      <c r="D10" s="12"/>
      <c r="E10" s="12"/>
      <c r="F10" s="12"/>
      <c r="G10" s="11"/>
      <c r="H10" s="11"/>
      <c r="I10" s="3"/>
    </row>
    <row r="11">
      <c r="A11" s="15"/>
      <c r="B11" s="16"/>
      <c r="C11" s="15"/>
      <c r="D11" s="15"/>
      <c r="E11" s="15"/>
      <c r="F11" s="15"/>
      <c r="G11" s="7"/>
      <c r="H11" s="7"/>
      <c r="I11" s="3"/>
    </row>
    <row r="12">
      <c r="A12" s="17"/>
      <c r="B12" s="18"/>
      <c r="C12" s="15"/>
      <c r="D12" s="15"/>
      <c r="E12" s="15"/>
      <c r="F12" s="15"/>
      <c r="G12" s="7"/>
      <c r="H12" s="7"/>
      <c r="I12" s="3"/>
    </row>
    <row r="13">
      <c r="A13" s="3"/>
      <c r="B13" s="19"/>
      <c r="C13" s="3"/>
      <c r="D13" s="20"/>
      <c r="E13" s="21"/>
      <c r="F13" s="21"/>
      <c r="G13" s="22"/>
      <c r="H13" s="22"/>
      <c r="I13" s="3"/>
    </row>
    <row r="14" ht="22.5" customHeight="1">
      <c r="A14" s="23" t="s">
        <v>5</v>
      </c>
      <c r="B14" s="24" t="s">
        <v>6</v>
      </c>
      <c r="C14" s="23" t="s">
        <v>7</v>
      </c>
      <c r="D14" s="25" t="s">
        <v>8</v>
      </c>
      <c r="E14" s="26" t="s">
        <v>9</v>
      </c>
      <c r="F14" s="26" t="s">
        <v>10</v>
      </c>
      <c r="G14" s="27" t="s">
        <v>11</v>
      </c>
      <c r="H14" s="27" t="s">
        <v>12</v>
      </c>
      <c r="I14" s="23" t="s">
        <v>13</v>
      </c>
    </row>
    <row r="15" ht="22.5" customHeight="1">
      <c r="A15" s="28" t="s">
        <v>14</v>
      </c>
      <c r="B15" s="29" t="s">
        <v>15</v>
      </c>
      <c r="C15" s="30" t="s">
        <v>16</v>
      </c>
      <c r="D15" s="30" t="s">
        <v>17</v>
      </c>
      <c r="E15" s="31"/>
      <c r="F15" s="32">
        <v>0.0</v>
      </c>
      <c r="G15" s="33">
        <v>100.0</v>
      </c>
      <c r="H15" s="33">
        <f t="shared" ref="H15:H56" si="1">F15*G15</f>
        <v>0</v>
      </c>
      <c r="I15" s="30" t="s">
        <v>18</v>
      </c>
    </row>
    <row r="16" ht="22.5" customHeight="1">
      <c r="A16" s="28" t="s">
        <v>14</v>
      </c>
      <c r="B16" s="29" t="s">
        <v>19</v>
      </c>
      <c r="C16" s="30" t="s">
        <v>20</v>
      </c>
      <c r="D16" s="30" t="s">
        <v>21</v>
      </c>
      <c r="E16" s="30" t="s">
        <v>22</v>
      </c>
      <c r="F16" s="32">
        <v>0.0</v>
      </c>
      <c r="G16" s="33">
        <v>150.0</v>
      </c>
      <c r="H16" s="33">
        <f t="shared" si="1"/>
        <v>0</v>
      </c>
      <c r="I16" s="30" t="s">
        <v>23</v>
      </c>
    </row>
    <row r="17" ht="22.5" customHeight="1">
      <c r="A17" s="28" t="s">
        <v>14</v>
      </c>
      <c r="B17" s="29" t="s">
        <v>15</v>
      </c>
      <c r="C17" s="30" t="s">
        <v>24</v>
      </c>
      <c r="D17" s="30" t="s">
        <v>25</v>
      </c>
      <c r="E17" s="31"/>
      <c r="F17" s="32">
        <v>0.0</v>
      </c>
      <c r="G17" s="33">
        <v>100.0</v>
      </c>
      <c r="H17" s="33">
        <f t="shared" si="1"/>
        <v>0</v>
      </c>
      <c r="I17" s="30" t="s">
        <v>26</v>
      </c>
    </row>
    <row r="18" ht="22.5" customHeight="1">
      <c r="A18" s="28" t="s">
        <v>14</v>
      </c>
      <c r="B18" s="29" t="s">
        <v>19</v>
      </c>
      <c r="C18" s="30" t="s">
        <v>27</v>
      </c>
      <c r="D18" s="30" t="s">
        <v>28</v>
      </c>
      <c r="E18" s="30" t="s">
        <v>22</v>
      </c>
      <c r="F18" s="32">
        <v>0.0</v>
      </c>
      <c r="G18" s="33">
        <v>150.0</v>
      </c>
      <c r="H18" s="33">
        <f t="shared" si="1"/>
        <v>0</v>
      </c>
      <c r="I18" s="30"/>
    </row>
    <row r="19" ht="22.5" customHeight="1">
      <c r="A19" s="28" t="s">
        <v>14</v>
      </c>
      <c r="B19" s="29" t="s">
        <v>15</v>
      </c>
      <c r="C19" s="30" t="s">
        <v>29</v>
      </c>
      <c r="D19" s="30" t="s">
        <v>30</v>
      </c>
      <c r="E19" s="31"/>
      <c r="F19" s="32">
        <v>0.0</v>
      </c>
      <c r="G19" s="33">
        <v>100.0</v>
      </c>
      <c r="H19" s="33">
        <f t="shared" si="1"/>
        <v>0</v>
      </c>
      <c r="I19" s="30" t="s">
        <v>26</v>
      </c>
    </row>
    <row r="20" ht="22.5" customHeight="1">
      <c r="A20" s="28" t="s">
        <v>14</v>
      </c>
      <c r="B20" s="29" t="s">
        <v>15</v>
      </c>
      <c r="C20" s="30" t="s">
        <v>31</v>
      </c>
      <c r="D20" s="30" t="s">
        <v>32</v>
      </c>
      <c r="E20" s="31"/>
      <c r="F20" s="32">
        <v>0.0</v>
      </c>
      <c r="G20" s="33">
        <v>100.0</v>
      </c>
      <c r="H20" s="33">
        <f t="shared" si="1"/>
        <v>0</v>
      </c>
      <c r="I20" s="30" t="s">
        <v>33</v>
      </c>
    </row>
    <row r="21" ht="22.5" customHeight="1">
      <c r="A21" s="28" t="s">
        <v>34</v>
      </c>
      <c r="B21" s="29" t="s">
        <v>15</v>
      </c>
      <c r="C21" s="30" t="s">
        <v>35</v>
      </c>
      <c r="D21" s="30" t="s">
        <v>36</v>
      </c>
      <c r="E21" s="31"/>
      <c r="F21" s="32">
        <v>0.0</v>
      </c>
      <c r="G21" s="33">
        <v>100.0</v>
      </c>
      <c r="H21" s="33">
        <f t="shared" si="1"/>
        <v>0</v>
      </c>
      <c r="I21" s="30" t="s">
        <v>18</v>
      </c>
    </row>
    <row r="22" ht="22.5" customHeight="1">
      <c r="A22" s="28" t="s">
        <v>34</v>
      </c>
      <c r="B22" s="29" t="s">
        <v>37</v>
      </c>
      <c r="C22" s="30" t="s">
        <v>37</v>
      </c>
      <c r="D22" s="30" t="s">
        <v>38</v>
      </c>
      <c r="E22" s="30" t="s">
        <v>39</v>
      </c>
      <c r="F22" s="32">
        <v>0.0</v>
      </c>
      <c r="G22" s="33">
        <v>150.0</v>
      </c>
      <c r="H22" s="33">
        <f t="shared" si="1"/>
        <v>0</v>
      </c>
      <c r="I22" s="30"/>
    </row>
    <row r="23" ht="22.5" customHeight="1">
      <c r="A23" s="28" t="s">
        <v>34</v>
      </c>
      <c r="B23" s="29" t="s">
        <v>37</v>
      </c>
      <c r="C23" s="30" t="s">
        <v>37</v>
      </c>
      <c r="D23" s="30" t="s">
        <v>2</v>
      </c>
      <c r="E23" s="30" t="s">
        <v>39</v>
      </c>
      <c r="F23" s="32">
        <v>0.0</v>
      </c>
      <c r="G23" s="33">
        <v>150.0</v>
      </c>
      <c r="H23" s="33">
        <f t="shared" si="1"/>
        <v>0</v>
      </c>
      <c r="I23" s="30"/>
    </row>
    <row r="24" ht="22.5" customHeight="1">
      <c r="A24" s="28" t="s">
        <v>34</v>
      </c>
      <c r="B24" s="29" t="s">
        <v>37</v>
      </c>
      <c r="C24" s="30" t="s">
        <v>40</v>
      </c>
      <c r="D24" s="30" t="s">
        <v>2</v>
      </c>
      <c r="E24" s="30" t="s">
        <v>39</v>
      </c>
      <c r="F24" s="32">
        <v>0.0</v>
      </c>
      <c r="G24" s="33">
        <v>150.0</v>
      </c>
      <c r="H24" s="33">
        <f t="shared" si="1"/>
        <v>0</v>
      </c>
      <c r="I24" s="30"/>
    </row>
    <row r="25" ht="22.5" customHeight="1">
      <c r="A25" s="28" t="s">
        <v>34</v>
      </c>
      <c r="B25" s="28" t="s">
        <v>19</v>
      </c>
      <c r="C25" s="30" t="s">
        <v>41</v>
      </c>
      <c r="D25" s="30" t="s">
        <v>42</v>
      </c>
      <c r="E25" s="34"/>
      <c r="F25" s="32">
        <v>0.0</v>
      </c>
      <c r="G25" s="33">
        <v>150.0</v>
      </c>
      <c r="H25" s="35">
        <f t="shared" si="1"/>
        <v>0</v>
      </c>
      <c r="I25" s="36"/>
    </row>
    <row r="26" ht="22.5" customHeight="1">
      <c r="A26" s="28" t="s">
        <v>34</v>
      </c>
      <c r="B26" s="28" t="s">
        <v>43</v>
      </c>
      <c r="C26" s="30" t="s">
        <v>44</v>
      </c>
      <c r="D26" s="30" t="s">
        <v>45</v>
      </c>
      <c r="E26" s="31"/>
      <c r="F26" s="32">
        <v>0.0</v>
      </c>
      <c r="G26" s="33">
        <v>150.0</v>
      </c>
      <c r="H26" s="33">
        <f t="shared" si="1"/>
        <v>0</v>
      </c>
      <c r="I26" s="30"/>
    </row>
    <row r="27" ht="22.5" customHeight="1">
      <c r="A27" s="28" t="s">
        <v>34</v>
      </c>
      <c r="B27" s="28" t="s">
        <v>15</v>
      </c>
      <c r="C27" s="30" t="s">
        <v>46</v>
      </c>
      <c r="D27" s="30" t="s">
        <v>47</v>
      </c>
      <c r="E27" s="34"/>
      <c r="F27" s="32">
        <v>0.0</v>
      </c>
      <c r="G27" s="33">
        <v>100.0</v>
      </c>
      <c r="H27" s="35">
        <f t="shared" si="1"/>
        <v>0</v>
      </c>
      <c r="I27" s="30" t="s">
        <v>26</v>
      </c>
    </row>
    <row r="28" ht="22.5" customHeight="1">
      <c r="A28" s="28" t="s">
        <v>34</v>
      </c>
      <c r="B28" s="28" t="s">
        <v>43</v>
      </c>
      <c r="C28" s="30" t="s">
        <v>48</v>
      </c>
      <c r="D28" s="30" t="s">
        <v>2</v>
      </c>
      <c r="E28" s="31"/>
      <c r="F28" s="32">
        <v>0.0</v>
      </c>
      <c r="G28" s="33">
        <v>150.0</v>
      </c>
      <c r="H28" s="33">
        <f t="shared" si="1"/>
        <v>0</v>
      </c>
      <c r="I28" s="30"/>
    </row>
    <row r="29" ht="22.5" customHeight="1">
      <c r="A29" s="28" t="s">
        <v>34</v>
      </c>
      <c r="B29" s="28" t="s">
        <v>43</v>
      </c>
      <c r="C29" s="30" t="s">
        <v>49</v>
      </c>
      <c r="D29" s="30" t="s">
        <v>50</v>
      </c>
      <c r="E29" s="34"/>
      <c r="F29" s="32">
        <v>0.0</v>
      </c>
      <c r="G29" s="33">
        <v>150.0</v>
      </c>
      <c r="H29" s="35">
        <f t="shared" si="1"/>
        <v>0</v>
      </c>
      <c r="I29" s="30" t="s">
        <v>51</v>
      </c>
    </row>
    <row r="30" ht="22.5" customHeight="1">
      <c r="A30" s="28" t="s">
        <v>34</v>
      </c>
      <c r="B30" s="28" t="s">
        <v>15</v>
      </c>
      <c r="C30" s="30" t="s">
        <v>52</v>
      </c>
      <c r="D30" s="30" t="s">
        <v>53</v>
      </c>
      <c r="E30" s="34"/>
      <c r="F30" s="32">
        <v>0.0</v>
      </c>
      <c r="G30" s="33">
        <v>100.0</v>
      </c>
      <c r="H30" s="35">
        <f t="shared" si="1"/>
        <v>0</v>
      </c>
      <c r="I30" s="30" t="s">
        <v>54</v>
      </c>
    </row>
    <row r="31" ht="22.5" customHeight="1">
      <c r="A31" s="28" t="s">
        <v>34</v>
      </c>
      <c r="B31" s="28" t="s">
        <v>43</v>
      </c>
      <c r="C31" s="30" t="s">
        <v>55</v>
      </c>
      <c r="D31" s="30" t="s">
        <v>56</v>
      </c>
      <c r="E31" s="34"/>
      <c r="F31" s="32">
        <v>0.0</v>
      </c>
      <c r="G31" s="33">
        <v>150.0</v>
      </c>
      <c r="H31" s="35">
        <f t="shared" si="1"/>
        <v>0</v>
      </c>
      <c r="I31" s="30" t="s">
        <v>51</v>
      </c>
    </row>
    <row r="32" ht="22.5" customHeight="1">
      <c r="A32" s="28" t="s">
        <v>34</v>
      </c>
      <c r="B32" s="28" t="s">
        <v>43</v>
      </c>
      <c r="C32" s="30" t="s">
        <v>43</v>
      </c>
      <c r="D32" s="30" t="s">
        <v>57</v>
      </c>
      <c r="E32" s="31"/>
      <c r="F32" s="32">
        <v>0.0</v>
      </c>
      <c r="G32" s="33">
        <v>150.0</v>
      </c>
      <c r="H32" s="33">
        <f t="shared" si="1"/>
        <v>0</v>
      </c>
      <c r="I32" s="37"/>
    </row>
    <row r="33" ht="22.5" customHeight="1">
      <c r="A33" s="28" t="s">
        <v>34</v>
      </c>
      <c r="B33" s="28" t="s">
        <v>15</v>
      </c>
      <c r="C33" s="30" t="s">
        <v>58</v>
      </c>
      <c r="D33" s="30" t="s">
        <v>59</v>
      </c>
      <c r="E33" s="31"/>
      <c r="F33" s="32">
        <v>0.0</v>
      </c>
      <c r="G33" s="33">
        <v>100.0</v>
      </c>
      <c r="H33" s="33">
        <f t="shared" si="1"/>
        <v>0</v>
      </c>
      <c r="I33" s="30" t="s">
        <v>26</v>
      </c>
    </row>
    <row r="34" ht="22.5" customHeight="1">
      <c r="A34" s="28" t="s">
        <v>34</v>
      </c>
      <c r="B34" s="28" t="s">
        <v>43</v>
      </c>
      <c r="C34" s="30" t="s">
        <v>60</v>
      </c>
      <c r="D34" s="30" t="s">
        <v>61</v>
      </c>
      <c r="E34" s="34"/>
      <c r="F34" s="32">
        <v>0.0</v>
      </c>
      <c r="G34" s="33">
        <v>150.0</v>
      </c>
      <c r="H34" s="35">
        <f t="shared" si="1"/>
        <v>0</v>
      </c>
      <c r="I34" s="36"/>
    </row>
    <row r="35" ht="22.5" customHeight="1">
      <c r="A35" s="28" t="s">
        <v>34</v>
      </c>
      <c r="B35" s="28" t="s">
        <v>15</v>
      </c>
      <c r="C35" s="30" t="s">
        <v>62</v>
      </c>
      <c r="D35" s="36"/>
      <c r="E35" s="34"/>
      <c r="F35" s="32">
        <v>0.0</v>
      </c>
      <c r="G35" s="33">
        <v>100.0</v>
      </c>
      <c r="H35" s="35">
        <f t="shared" si="1"/>
        <v>0</v>
      </c>
      <c r="I35" s="36"/>
    </row>
    <row r="36" ht="22.5" customHeight="1">
      <c r="A36" s="28" t="s">
        <v>34</v>
      </c>
      <c r="B36" s="28" t="s">
        <v>15</v>
      </c>
      <c r="C36" s="30" t="s">
        <v>63</v>
      </c>
      <c r="D36" s="36"/>
      <c r="E36" s="34"/>
      <c r="F36" s="32">
        <v>0.0</v>
      </c>
      <c r="G36" s="33">
        <v>100.0</v>
      </c>
      <c r="H36" s="35">
        <f t="shared" si="1"/>
        <v>0</v>
      </c>
      <c r="I36" s="36"/>
    </row>
    <row r="37" ht="22.5" customHeight="1">
      <c r="A37" s="28" t="s">
        <v>34</v>
      </c>
      <c r="B37" s="28" t="s">
        <v>19</v>
      </c>
      <c r="C37" s="36" t="s">
        <v>64</v>
      </c>
      <c r="D37" s="36" t="s">
        <v>65</v>
      </c>
      <c r="E37" s="38" t="s">
        <v>22</v>
      </c>
      <c r="F37" s="39">
        <v>0.0</v>
      </c>
      <c r="G37" s="33">
        <v>150.0</v>
      </c>
      <c r="H37" s="35">
        <f t="shared" si="1"/>
        <v>0</v>
      </c>
      <c r="I37" s="36"/>
    </row>
    <row r="38" ht="22.5" customHeight="1">
      <c r="A38" s="28" t="s">
        <v>34</v>
      </c>
      <c r="B38" s="28" t="s">
        <v>15</v>
      </c>
      <c r="C38" s="30" t="s">
        <v>66</v>
      </c>
      <c r="D38" s="30" t="s">
        <v>32</v>
      </c>
      <c r="E38" s="34"/>
      <c r="F38" s="32">
        <v>0.0</v>
      </c>
      <c r="G38" s="33">
        <v>100.0</v>
      </c>
      <c r="H38" s="35">
        <f t="shared" si="1"/>
        <v>0</v>
      </c>
      <c r="I38" s="30" t="s">
        <v>33</v>
      </c>
    </row>
    <row r="39" ht="22.5" customHeight="1">
      <c r="A39" s="28" t="s">
        <v>67</v>
      </c>
      <c r="B39" s="28" t="s">
        <v>15</v>
      </c>
      <c r="C39" s="30" t="s">
        <v>68</v>
      </c>
      <c r="D39" s="30" t="s">
        <v>36</v>
      </c>
      <c r="E39" s="31"/>
      <c r="F39" s="32">
        <v>0.0</v>
      </c>
      <c r="G39" s="33">
        <v>100.0</v>
      </c>
      <c r="H39" s="33">
        <f t="shared" si="1"/>
        <v>0</v>
      </c>
      <c r="I39" s="37"/>
    </row>
    <row r="40" ht="22.5" customHeight="1">
      <c r="A40" s="28" t="s">
        <v>67</v>
      </c>
      <c r="B40" s="28" t="s">
        <v>69</v>
      </c>
      <c r="C40" s="30" t="s">
        <v>70</v>
      </c>
      <c r="D40" s="30" t="s">
        <v>71</v>
      </c>
      <c r="E40" s="30" t="s">
        <v>72</v>
      </c>
      <c r="F40" s="32">
        <v>0.0</v>
      </c>
      <c r="G40" s="33">
        <v>150.0</v>
      </c>
      <c r="H40" s="33">
        <f t="shared" si="1"/>
        <v>0</v>
      </c>
      <c r="I40" s="30" t="s">
        <v>51</v>
      </c>
    </row>
    <row r="41" ht="22.5" customHeight="1">
      <c r="A41" s="28" t="s">
        <v>67</v>
      </c>
      <c r="B41" s="28" t="s">
        <v>69</v>
      </c>
      <c r="C41" s="30" t="s">
        <v>73</v>
      </c>
      <c r="D41" s="30" t="s">
        <v>74</v>
      </c>
      <c r="E41" s="30" t="s">
        <v>72</v>
      </c>
      <c r="F41" s="32">
        <v>0.0</v>
      </c>
      <c r="G41" s="33">
        <v>150.0</v>
      </c>
      <c r="H41" s="33">
        <f t="shared" si="1"/>
        <v>0</v>
      </c>
      <c r="I41" s="30" t="s">
        <v>51</v>
      </c>
    </row>
    <row r="42" ht="22.5" customHeight="1">
      <c r="A42" s="28" t="s">
        <v>67</v>
      </c>
      <c r="B42" s="28" t="s">
        <v>69</v>
      </c>
      <c r="C42" s="30" t="s">
        <v>75</v>
      </c>
      <c r="D42" s="30" t="s">
        <v>76</v>
      </c>
      <c r="E42" s="30" t="s">
        <v>72</v>
      </c>
      <c r="F42" s="32">
        <v>0.0</v>
      </c>
      <c r="G42" s="33">
        <v>150.0</v>
      </c>
      <c r="H42" s="33">
        <f t="shared" si="1"/>
        <v>0</v>
      </c>
      <c r="I42" s="30" t="s">
        <v>51</v>
      </c>
    </row>
    <row r="43" ht="22.5" customHeight="1">
      <c r="A43" s="40" t="s">
        <v>67</v>
      </c>
      <c r="B43" s="40" t="s">
        <v>69</v>
      </c>
      <c r="C43" s="41" t="s">
        <v>77</v>
      </c>
      <c r="D43" s="41" t="s">
        <v>78</v>
      </c>
      <c r="E43" s="42" t="s">
        <v>72</v>
      </c>
      <c r="F43" s="43">
        <v>0.0</v>
      </c>
      <c r="G43" s="44">
        <v>150.0</v>
      </c>
      <c r="H43" s="44">
        <f t="shared" si="1"/>
        <v>0</v>
      </c>
      <c r="I43" s="30" t="s">
        <v>51</v>
      </c>
    </row>
    <row r="44" ht="22.5" customHeight="1">
      <c r="A44" s="40" t="s">
        <v>67</v>
      </c>
      <c r="B44" s="40" t="s">
        <v>69</v>
      </c>
      <c r="C44" s="41" t="s">
        <v>79</v>
      </c>
      <c r="D44" s="41" t="s">
        <v>80</v>
      </c>
      <c r="E44" s="42" t="s">
        <v>72</v>
      </c>
      <c r="F44" s="43">
        <v>0.0</v>
      </c>
      <c r="G44" s="44">
        <v>150.0</v>
      </c>
      <c r="H44" s="44">
        <f t="shared" si="1"/>
        <v>0</v>
      </c>
      <c r="I44" s="30" t="s">
        <v>51</v>
      </c>
    </row>
    <row r="45" ht="22.5" customHeight="1">
      <c r="A45" s="45" t="s">
        <v>67</v>
      </c>
      <c r="B45" s="45" t="s">
        <v>69</v>
      </c>
      <c r="C45" s="41" t="s">
        <v>81</v>
      </c>
      <c r="D45" s="41" t="s">
        <v>2</v>
      </c>
      <c r="E45" s="42" t="s">
        <v>72</v>
      </c>
      <c r="F45" s="43">
        <v>0.0</v>
      </c>
      <c r="G45" s="44">
        <v>150.0</v>
      </c>
      <c r="H45" s="44">
        <f t="shared" si="1"/>
        <v>0</v>
      </c>
      <c r="I45" s="30" t="s">
        <v>82</v>
      </c>
    </row>
    <row r="46" ht="22.5" customHeight="1">
      <c r="A46" s="28" t="s">
        <v>67</v>
      </c>
      <c r="B46" s="28" t="s">
        <v>69</v>
      </c>
      <c r="C46" s="30" t="s">
        <v>83</v>
      </c>
      <c r="D46" s="30" t="s">
        <v>84</v>
      </c>
      <c r="E46" s="30"/>
      <c r="F46" s="32">
        <v>0.0</v>
      </c>
      <c r="G46" s="33">
        <v>150.0</v>
      </c>
      <c r="H46" s="33">
        <f t="shared" si="1"/>
        <v>0</v>
      </c>
      <c r="I46" s="37"/>
    </row>
    <row r="47" ht="22.5" customHeight="1">
      <c r="A47" s="28" t="s">
        <v>67</v>
      </c>
      <c r="B47" s="28" t="s">
        <v>15</v>
      </c>
      <c r="C47" s="30" t="s">
        <v>85</v>
      </c>
      <c r="D47" s="30" t="s">
        <v>86</v>
      </c>
      <c r="E47" s="31"/>
      <c r="F47" s="32">
        <v>0.0</v>
      </c>
      <c r="G47" s="33">
        <v>100.0</v>
      </c>
      <c r="H47" s="33">
        <f t="shared" si="1"/>
        <v>0</v>
      </c>
      <c r="I47" s="37"/>
    </row>
    <row r="48" ht="22.5" customHeight="1">
      <c r="A48" s="28" t="s">
        <v>67</v>
      </c>
      <c r="B48" s="28" t="s">
        <v>69</v>
      </c>
      <c r="C48" s="30" t="s">
        <v>87</v>
      </c>
      <c r="D48" s="30" t="s">
        <v>88</v>
      </c>
      <c r="E48" s="30"/>
      <c r="F48" s="32">
        <v>0.0</v>
      </c>
      <c r="G48" s="33">
        <v>150.0</v>
      </c>
      <c r="H48" s="33">
        <f t="shared" si="1"/>
        <v>0</v>
      </c>
      <c r="I48" s="37"/>
    </row>
    <row r="49" ht="22.5" customHeight="1">
      <c r="A49" s="28" t="s">
        <v>67</v>
      </c>
      <c r="B49" s="28" t="s">
        <v>15</v>
      </c>
      <c r="C49" s="30" t="s">
        <v>89</v>
      </c>
      <c r="D49" s="30" t="s">
        <v>32</v>
      </c>
      <c r="E49" s="31"/>
      <c r="F49" s="32">
        <v>0.0</v>
      </c>
      <c r="G49" s="33">
        <v>100.0</v>
      </c>
      <c r="H49" s="33">
        <f t="shared" si="1"/>
        <v>0</v>
      </c>
      <c r="I49" s="30" t="s">
        <v>33</v>
      </c>
    </row>
    <row r="50" ht="22.5" customHeight="1">
      <c r="A50" s="28" t="s">
        <v>90</v>
      </c>
      <c r="B50" s="28" t="s">
        <v>15</v>
      </c>
      <c r="C50" s="30" t="s">
        <v>91</v>
      </c>
      <c r="D50" s="30" t="s">
        <v>92</v>
      </c>
      <c r="E50" s="31"/>
      <c r="F50" s="32"/>
      <c r="G50" s="33">
        <v>100.0</v>
      </c>
      <c r="H50" s="33">
        <f t="shared" si="1"/>
        <v>0</v>
      </c>
      <c r="I50" s="30"/>
    </row>
    <row r="51" ht="22.5" customHeight="1">
      <c r="A51" s="28" t="s">
        <v>90</v>
      </c>
      <c r="B51" s="28" t="s">
        <v>69</v>
      </c>
      <c r="C51" s="30" t="s">
        <v>93</v>
      </c>
      <c r="D51" s="30" t="s">
        <v>94</v>
      </c>
      <c r="E51" s="30" t="s">
        <v>72</v>
      </c>
      <c r="F51" s="32">
        <v>4.0</v>
      </c>
      <c r="G51" s="33">
        <v>150.0</v>
      </c>
      <c r="H51" s="33">
        <f t="shared" si="1"/>
        <v>600</v>
      </c>
      <c r="I51" s="30" t="s">
        <v>51</v>
      </c>
    </row>
    <row r="52" ht="22.5" customHeight="1">
      <c r="A52" s="28" t="s">
        <v>90</v>
      </c>
      <c r="B52" s="28" t="s">
        <v>95</v>
      </c>
      <c r="C52" s="30" t="s">
        <v>96</v>
      </c>
      <c r="D52" s="30" t="s">
        <v>97</v>
      </c>
      <c r="E52" s="30" t="s">
        <v>98</v>
      </c>
      <c r="F52" s="32">
        <v>1.0</v>
      </c>
      <c r="G52" s="33">
        <v>100.0</v>
      </c>
      <c r="H52" s="33">
        <f t="shared" si="1"/>
        <v>100</v>
      </c>
      <c r="I52" s="30" t="s">
        <v>99</v>
      </c>
    </row>
    <row r="53" ht="22.5" customHeight="1">
      <c r="A53" s="28" t="s">
        <v>90</v>
      </c>
      <c r="B53" s="28" t="s">
        <v>15</v>
      </c>
      <c r="C53" s="30" t="s">
        <v>100</v>
      </c>
      <c r="D53" s="30" t="s">
        <v>101</v>
      </c>
      <c r="E53" s="46"/>
      <c r="F53" s="32">
        <v>0.0</v>
      </c>
      <c r="G53" s="33">
        <v>100.0</v>
      </c>
      <c r="H53" s="33">
        <f t="shared" si="1"/>
        <v>0</v>
      </c>
      <c r="I53" s="30" t="s">
        <v>82</v>
      </c>
    </row>
    <row r="54" ht="22.5" customHeight="1">
      <c r="A54" s="28" t="s">
        <v>90</v>
      </c>
      <c r="B54" s="28" t="s">
        <v>15</v>
      </c>
      <c r="C54" s="30" t="s">
        <v>102</v>
      </c>
      <c r="D54" s="30" t="s">
        <v>103</v>
      </c>
      <c r="E54" s="46"/>
      <c r="F54" s="32">
        <v>0.0</v>
      </c>
      <c r="G54" s="33">
        <v>100.0</v>
      </c>
      <c r="H54" s="33">
        <f t="shared" si="1"/>
        <v>0</v>
      </c>
      <c r="I54" s="30" t="s">
        <v>82</v>
      </c>
    </row>
    <row r="55" ht="22.5" customHeight="1">
      <c r="A55" s="28" t="s">
        <v>90</v>
      </c>
      <c r="B55" s="28" t="s">
        <v>69</v>
      </c>
      <c r="C55" s="30" t="s">
        <v>104</v>
      </c>
      <c r="D55" s="30" t="s">
        <v>105</v>
      </c>
      <c r="E55" s="30" t="s">
        <v>72</v>
      </c>
      <c r="F55" s="32">
        <v>5.0</v>
      </c>
      <c r="G55" s="33">
        <v>150.0</v>
      </c>
      <c r="H55" s="33">
        <f t="shared" si="1"/>
        <v>750</v>
      </c>
      <c r="I55" s="30" t="s">
        <v>82</v>
      </c>
    </row>
    <row r="56" ht="22.5" customHeight="1">
      <c r="A56" s="28" t="s">
        <v>90</v>
      </c>
      <c r="B56" s="28" t="s">
        <v>15</v>
      </c>
      <c r="C56" s="30" t="s">
        <v>106</v>
      </c>
      <c r="D56" s="30" t="s">
        <v>32</v>
      </c>
      <c r="E56" s="31"/>
      <c r="F56" s="32">
        <v>0.0</v>
      </c>
      <c r="G56" s="33">
        <v>100.0</v>
      </c>
      <c r="H56" s="33">
        <f t="shared" si="1"/>
        <v>0</v>
      </c>
      <c r="I56" s="30" t="s">
        <v>33</v>
      </c>
    </row>
    <row r="57" ht="22.5" customHeight="1">
      <c r="A57" s="28" t="s">
        <v>90</v>
      </c>
      <c r="B57" s="28" t="s">
        <v>107</v>
      </c>
      <c r="C57" s="30" t="s">
        <v>107</v>
      </c>
      <c r="D57" s="30" t="s">
        <v>108</v>
      </c>
      <c r="E57" s="31"/>
      <c r="F57" s="32"/>
      <c r="G57" s="33">
        <v>276.0</v>
      </c>
      <c r="H57" s="33">
        <v>386.4</v>
      </c>
      <c r="I57" s="30" t="s">
        <v>99</v>
      </c>
    </row>
    <row r="58" ht="22.5" customHeight="1">
      <c r="A58" s="28" t="s">
        <v>109</v>
      </c>
      <c r="B58" s="28" t="s">
        <v>95</v>
      </c>
      <c r="C58" s="30" t="s">
        <v>95</v>
      </c>
      <c r="D58" s="30" t="s">
        <v>110</v>
      </c>
      <c r="E58" s="30" t="s">
        <v>111</v>
      </c>
      <c r="F58" s="32">
        <v>0.0</v>
      </c>
      <c r="G58" s="33">
        <v>100.0</v>
      </c>
      <c r="H58" s="33">
        <f t="shared" ref="H58:H59" si="2">F58*G58</f>
        <v>0</v>
      </c>
      <c r="I58" s="30" t="s">
        <v>33</v>
      </c>
    </row>
    <row r="59" ht="22.5" customHeight="1">
      <c r="A59" s="28" t="s">
        <v>109</v>
      </c>
      <c r="B59" s="28" t="s">
        <v>112</v>
      </c>
      <c r="C59" s="30" t="s">
        <v>112</v>
      </c>
      <c r="D59" s="30" t="s">
        <v>113</v>
      </c>
      <c r="E59" s="31"/>
      <c r="F59" s="32">
        <v>0.0</v>
      </c>
      <c r="G59" s="33">
        <v>100.0</v>
      </c>
      <c r="H59" s="33">
        <f t="shared" si="2"/>
        <v>0</v>
      </c>
      <c r="I59" s="37"/>
    </row>
    <row r="60" ht="22.5" customHeight="1">
      <c r="A60" s="47"/>
      <c r="B60" s="47"/>
      <c r="C60" s="47"/>
      <c r="D60" s="48"/>
      <c r="E60" s="49"/>
      <c r="F60" s="50"/>
      <c r="G60" s="51"/>
      <c r="H60" s="52">
        <f>SUM(Master_Web[Total])</f>
        <v>1836.4</v>
      </c>
      <c r="I60" s="49"/>
    </row>
    <row r="61">
      <c r="A61" s="28"/>
      <c r="B61" s="28"/>
      <c r="C61" s="28"/>
      <c r="D61" s="53"/>
      <c r="E61" s="53"/>
      <c r="F61" s="53"/>
      <c r="G61" s="54"/>
      <c r="H61" s="54"/>
      <c r="I61" s="55"/>
    </row>
    <row r="62">
      <c r="A62" s="9" t="s">
        <v>1</v>
      </c>
      <c r="B62" s="5"/>
      <c r="C62" s="4"/>
      <c r="D62" s="6"/>
      <c r="E62" s="6"/>
      <c r="F62" s="6"/>
      <c r="G62" s="54"/>
      <c r="H62" s="54"/>
      <c r="I62" s="55"/>
    </row>
    <row r="63">
      <c r="A63" s="10" t="s">
        <v>2</v>
      </c>
      <c r="B63" s="1"/>
      <c r="C63" s="1"/>
      <c r="D63" s="1"/>
      <c r="E63" s="1"/>
      <c r="F63" s="1"/>
      <c r="G63" s="54"/>
      <c r="H63" s="54"/>
      <c r="I63" s="55"/>
    </row>
    <row r="64">
      <c r="A64" s="5"/>
      <c r="B64" s="5"/>
      <c r="C64" s="5"/>
      <c r="D64" s="6"/>
      <c r="E64" s="6"/>
      <c r="F64" s="6"/>
      <c r="G64" s="54"/>
      <c r="H64" s="54"/>
      <c r="I64" s="55"/>
    </row>
    <row r="65">
      <c r="A65" s="9" t="s">
        <v>3</v>
      </c>
      <c r="B65" s="5"/>
      <c r="C65" s="4"/>
      <c r="D65" s="12"/>
      <c r="E65" s="12"/>
      <c r="F65" s="6"/>
      <c r="G65" s="54"/>
      <c r="H65" s="54"/>
      <c r="I65" s="55"/>
    </row>
    <row r="66">
      <c r="A66" s="13" t="s">
        <v>2</v>
      </c>
      <c r="B66" s="5"/>
      <c r="C66" s="4"/>
      <c r="D66" s="12"/>
      <c r="E66" s="14"/>
      <c r="F66" s="6"/>
      <c r="G66" s="54"/>
      <c r="H66" s="54"/>
      <c r="I66" s="55"/>
    </row>
    <row r="67">
      <c r="A67" s="5"/>
      <c r="B67" s="5"/>
      <c r="C67" s="4"/>
      <c r="D67" s="12"/>
      <c r="E67" s="14"/>
      <c r="F67" s="6"/>
      <c r="G67" s="54"/>
      <c r="H67" s="54"/>
      <c r="I67" s="55"/>
    </row>
    <row r="68">
      <c r="A68" s="9" t="s">
        <v>4</v>
      </c>
      <c r="B68" s="4"/>
      <c r="C68" s="4"/>
      <c r="D68" s="12"/>
      <c r="E68" s="12"/>
      <c r="F68" s="12"/>
      <c r="G68" s="54"/>
      <c r="H68" s="54"/>
      <c r="I68" s="55"/>
    </row>
    <row r="69">
      <c r="A69" s="13" t="s">
        <v>2</v>
      </c>
      <c r="B69" s="4"/>
      <c r="C69" s="4"/>
      <c r="D69" s="12"/>
      <c r="E69" s="12"/>
      <c r="F69" s="12"/>
      <c r="G69" s="54"/>
      <c r="H69" s="54"/>
      <c r="I69" s="55"/>
    </row>
    <row r="70">
      <c r="A70" s="13"/>
      <c r="B70" s="4"/>
      <c r="C70" s="4"/>
      <c r="D70" s="12"/>
      <c r="E70" s="12"/>
      <c r="F70" s="12"/>
      <c r="G70" s="54"/>
      <c r="H70" s="54"/>
      <c r="I70" s="55"/>
    </row>
  </sheetData>
  <customSheetViews>
    <customSheetView guid="{918FA4EB-0BB9-4F2F-A1B5-3AF4D23A67C5}" filter="1" showAutoFilter="1">
      <autoFilter ref="$A$14:$I$60"/>
    </customSheetView>
    <customSheetView guid="{9D30ADFE-2059-4FDC-A53A-E96789934B3F}" filter="1" showAutoFilter="1">
      <autoFilter ref="$A$14:$I$60"/>
    </customSheetView>
  </customSheetViews>
  <mergeCells count="1">
    <mergeCell ref="A1:F1"/>
  </mergeCells>
  <dataValidations>
    <dataValidation type="list" allowBlank="1" sqref="A15:A59">
      <formula1>"Phase 1,Phase 2,Phase 3,Phase 4,Phase Padding"</formula1>
    </dataValidation>
    <dataValidation type="list" allowBlank="1" sqref="B15:B59">
      <formula1>"Account Service,Creative Direction,Copywriting,Website Design,Website Development,Production Management,Formulating New Business,Squarespace Subscription"</formula1>
    </dataValidation>
    <dataValidation type="custom" allowBlank="1" showDropDown="1" sqref="G15:H59">
      <formula1>AND(ISNUMBER(G15),(NOT(OR(NOT(ISERROR(DATEVALUE(G15))), AND(ISNUMBER(G15), LEFT(CELL("format", G15))="D")))))</formula1>
    </dataValidation>
    <dataValidation type="list" allowBlank="1" sqref="E15:E59">
      <formula1>"Nick,Christian,Daniel,Amy,Devon,Alli,Emily,Kellie,Cassidy,Deb,Erin"</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5"/>
    <col customWidth="1" min="2" max="2" width="35.13"/>
    <col customWidth="1" min="3" max="3" width="13.63"/>
    <col customWidth="1" min="4" max="4" width="14.0"/>
    <col customWidth="1" min="5" max="5" width="14.75"/>
    <col customWidth="1" min="6" max="6" width="14.63"/>
  </cols>
  <sheetData>
    <row r="1">
      <c r="A1" s="1" t="s">
        <v>0</v>
      </c>
    </row>
    <row r="2">
      <c r="A2" s="4"/>
      <c r="B2" s="5"/>
      <c r="C2" s="5"/>
      <c r="D2" s="6"/>
      <c r="E2" s="6"/>
      <c r="F2" s="6"/>
    </row>
    <row r="3">
      <c r="A3" s="9" t="s">
        <v>1</v>
      </c>
      <c r="B3" s="5"/>
      <c r="C3" s="4"/>
      <c r="D3" s="6"/>
      <c r="E3" s="6"/>
      <c r="F3" s="6"/>
    </row>
    <row r="4">
      <c r="A4" s="10" t="s">
        <v>2</v>
      </c>
      <c r="B4" s="1"/>
      <c r="C4" s="1"/>
      <c r="D4" s="1"/>
      <c r="E4" s="1"/>
      <c r="F4" s="1"/>
    </row>
    <row r="5">
      <c r="A5" s="5"/>
      <c r="B5" s="5"/>
      <c r="C5" s="5"/>
      <c r="D5" s="6"/>
      <c r="E5" s="6"/>
      <c r="F5" s="6"/>
    </row>
    <row r="6">
      <c r="A6" s="9" t="s">
        <v>3</v>
      </c>
      <c r="B6" s="5"/>
      <c r="C6" s="4"/>
      <c r="D6" s="12"/>
      <c r="E6" s="12"/>
      <c r="F6" s="6"/>
    </row>
    <row r="7">
      <c r="A7" s="13" t="s">
        <v>2</v>
      </c>
      <c r="B7" s="5"/>
      <c r="C7" s="4"/>
      <c r="D7" s="12"/>
      <c r="E7" s="14"/>
      <c r="F7" s="6"/>
    </row>
    <row r="8">
      <c r="A8" s="5"/>
      <c r="B8" s="5"/>
      <c r="C8" s="4"/>
      <c r="D8" s="12"/>
      <c r="E8" s="14"/>
      <c r="F8" s="6"/>
    </row>
    <row r="9">
      <c r="A9" s="9" t="s">
        <v>4</v>
      </c>
      <c r="B9" s="4"/>
      <c r="C9" s="4"/>
      <c r="D9" s="12"/>
      <c r="E9" s="12"/>
      <c r="F9" s="12"/>
    </row>
    <row r="10">
      <c r="A10" s="13" t="s">
        <v>2</v>
      </c>
      <c r="B10" s="4"/>
      <c r="C10" s="4"/>
      <c r="D10" s="12"/>
      <c r="E10" s="12"/>
      <c r="F10" s="12"/>
    </row>
    <row r="11">
      <c r="A11" s="56"/>
      <c r="B11" s="20"/>
      <c r="C11" s="20"/>
      <c r="D11" s="21"/>
      <c r="E11" s="21"/>
      <c r="F11" s="21"/>
    </row>
    <row r="12">
      <c r="A12" s="56"/>
      <c r="B12" s="57"/>
      <c r="C12" s="56"/>
      <c r="D12" s="58"/>
      <c r="E12" s="58"/>
      <c r="F12" s="58"/>
    </row>
    <row r="13" ht="34.5" customHeight="1">
      <c r="A13" s="25" t="s">
        <v>114</v>
      </c>
      <c r="B13" s="23" t="s">
        <v>8</v>
      </c>
      <c r="C13" s="26" t="s">
        <v>10</v>
      </c>
      <c r="D13" s="26" t="s">
        <v>115</v>
      </c>
      <c r="E13" s="59" t="s">
        <v>116</v>
      </c>
      <c r="F13" s="26" t="s">
        <v>117</v>
      </c>
    </row>
    <row r="14" ht="34.5" customHeight="1">
      <c r="A14" s="60" t="s">
        <v>118</v>
      </c>
      <c r="B14" s="61" t="s">
        <v>119</v>
      </c>
      <c r="C14" s="62"/>
      <c r="D14" s="62">
        <v>50.0</v>
      </c>
      <c r="E14" s="63">
        <f t="shared" ref="E14:E15" si="1">D14*3</f>
        <v>150</v>
      </c>
      <c r="F14" s="63">
        <f t="shared" ref="F14:F15" si="2">D14*12</f>
        <v>600</v>
      </c>
    </row>
    <row r="15" ht="22.5" customHeight="1">
      <c r="A15" s="60" t="s">
        <v>120</v>
      </c>
      <c r="B15" s="61" t="s">
        <v>121</v>
      </c>
      <c r="C15" s="64">
        <v>0.0</v>
      </c>
      <c r="D15" s="62">
        <f>C15*150</f>
        <v>0</v>
      </c>
      <c r="E15" s="63">
        <f t="shared" si="1"/>
        <v>0</v>
      </c>
      <c r="F15" s="63">
        <f t="shared" si="2"/>
        <v>0</v>
      </c>
    </row>
    <row r="16" ht="22.5" customHeight="1">
      <c r="A16" s="60" t="s">
        <v>122</v>
      </c>
      <c r="B16" s="61" t="s">
        <v>123</v>
      </c>
      <c r="C16" s="64">
        <v>0.0</v>
      </c>
      <c r="D16" s="62"/>
      <c r="E16" s="63">
        <f>C16*150</f>
        <v>0</v>
      </c>
      <c r="F16" s="63">
        <f>E16*4</f>
        <v>0</v>
      </c>
    </row>
    <row r="17" ht="22.5" customHeight="1">
      <c r="A17" s="65" t="s">
        <v>124</v>
      </c>
      <c r="B17" s="66"/>
      <c r="C17" s="67"/>
      <c r="D17" s="67"/>
      <c r="E17" s="68">
        <f>SUM(Netwave_Hosting_and_Maintenance_2[Quarterly])</f>
        <v>150</v>
      </c>
      <c r="F17" s="67"/>
    </row>
    <row r="18">
      <c r="A18" s="56"/>
      <c r="B18" s="57"/>
      <c r="C18" s="56"/>
      <c r="D18" s="58"/>
      <c r="E18" s="58"/>
      <c r="F18" s="58"/>
    </row>
    <row r="19">
      <c r="A19" s="69" t="s">
        <v>125</v>
      </c>
    </row>
    <row r="20">
      <c r="A20" s="70" t="s">
        <v>126</v>
      </c>
    </row>
    <row r="21">
      <c r="A21" s="71" t="s">
        <v>127</v>
      </c>
    </row>
    <row r="22">
      <c r="A22" s="69"/>
    </row>
    <row r="23">
      <c r="A23" s="56"/>
      <c r="B23" s="57"/>
      <c r="C23" s="56"/>
      <c r="D23" s="58"/>
      <c r="E23" s="58"/>
      <c r="F23" s="58"/>
    </row>
    <row r="24">
      <c r="A24" s="56"/>
      <c r="B24" s="57"/>
      <c r="C24" s="56"/>
      <c r="D24" s="58"/>
      <c r="E24" s="58"/>
      <c r="F24" s="58"/>
    </row>
    <row r="25">
      <c r="A25" s="56"/>
      <c r="B25" s="57"/>
      <c r="C25" s="56"/>
      <c r="D25" s="72"/>
      <c r="E25" s="73" t="s">
        <v>128</v>
      </c>
      <c r="F25" s="73" t="s">
        <v>129</v>
      </c>
    </row>
    <row r="26">
      <c r="A26" s="56"/>
      <c r="B26" s="57"/>
      <c r="C26" s="56"/>
      <c r="D26" s="73">
        <v>1.0</v>
      </c>
      <c r="E26" s="74">
        <v>300.0</v>
      </c>
      <c r="F26" s="74">
        <v>450.0</v>
      </c>
    </row>
    <row r="27">
      <c r="A27" s="56"/>
      <c r="B27" s="57"/>
      <c r="C27" s="56"/>
      <c r="D27" s="73">
        <v>2.0</v>
      </c>
      <c r="E27" s="74">
        <v>300.0</v>
      </c>
      <c r="F27" s="74">
        <v>450.0</v>
      </c>
    </row>
    <row r="28">
      <c r="A28" s="56"/>
      <c r="B28" s="57"/>
      <c r="C28" s="56"/>
      <c r="D28" s="73">
        <v>3.0</v>
      </c>
      <c r="E28" s="74">
        <v>300.0</v>
      </c>
      <c r="F28" s="74">
        <v>450.0</v>
      </c>
    </row>
    <row r="29">
      <c r="A29" s="56"/>
      <c r="B29" s="57"/>
      <c r="C29" s="56"/>
      <c r="D29" s="73" t="s">
        <v>116</v>
      </c>
      <c r="E29" s="75">
        <f t="shared" ref="E29:F29" si="3">SUM(E26:E28)</f>
        <v>900</v>
      </c>
      <c r="F29" s="75">
        <f t="shared" si="3"/>
        <v>1350</v>
      </c>
    </row>
    <row r="30">
      <c r="A30" s="56"/>
      <c r="B30" s="57"/>
      <c r="C30" s="56"/>
      <c r="D30" s="58"/>
      <c r="E30" s="58"/>
      <c r="F30" s="58"/>
    </row>
    <row r="31">
      <c r="A31" s="56"/>
      <c r="B31" s="57"/>
      <c r="C31" s="56"/>
      <c r="D31" s="58"/>
      <c r="E31" s="58"/>
      <c r="F31" s="58"/>
    </row>
    <row r="32">
      <c r="A32" s="56"/>
      <c r="B32" s="57"/>
      <c r="C32" s="56"/>
      <c r="D32" s="58"/>
      <c r="E32" s="58"/>
      <c r="F32" s="58"/>
    </row>
    <row r="33">
      <c r="A33" s="56"/>
      <c r="B33" s="57"/>
      <c r="C33" s="56"/>
      <c r="D33" s="58"/>
      <c r="E33" s="58"/>
      <c r="F33" s="58"/>
    </row>
  </sheetData>
  <mergeCells count="5">
    <mergeCell ref="A1:F1"/>
    <mergeCell ref="A19:F19"/>
    <mergeCell ref="A20:F20"/>
    <mergeCell ref="A21:F21"/>
    <mergeCell ref="A22:F22"/>
  </mergeCells>
  <dataValidations>
    <dataValidation type="custom" allowBlank="1" showDropDown="1" sqref="E14:F16">
      <formula1>AND(ISNUMBER(E14),(NOT(OR(NOT(ISERROR(DATEVALUE(E14))), AND(ISNUMBER(E14), LEFT(CELL("format", E14))="D")))))</formula1>
    </dataValidation>
  </dataValidations>
  <hyperlinks>
    <hyperlink r:id="rId1" ref="A21"/>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47.88"/>
    <col customWidth="1" min="4" max="4" width="12.5"/>
    <col customWidth="1" min="5" max="5" width="18.25"/>
  </cols>
  <sheetData>
    <row r="1" ht="22.5" customHeight="1">
      <c r="A1" s="76" t="s">
        <v>5</v>
      </c>
      <c r="B1" s="76" t="s">
        <v>130</v>
      </c>
      <c r="C1" s="76" t="s">
        <v>131</v>
      </c>
      <c r="D1" s="76" t="s">
        <v>9</v>
      </c>
      <c r="E1" s="76" t="s">
        <v>132</v>
      </c>
    </row>
    <row r="2" ht="22.5" customHeight="1">
      <c r="A2" s="28" t="s">
        <v>14</v>
      </c>
      <c r="B2" s="49" t="s">
        <v>16</v>
      </c>
      <c r="C2" s="77"/>
      <c r="D2" s="78"/>
      <c r="E2" s="49"/>
    </row>
    <row r="3" ht="22.5" customHeight="1">
      <c r="A3" s="28" t="s">
        <v>14</v>
      </c>
      <c r="B3" s="49" t="s">
        <v>133</v>
      </c>
      <c r="C3" s="77"/>
      <c r="D3" s="78"/>
      <c r="E3" s="49"/>
    </row>
    <row r="4" ht="22.5" customHeight="1">
      <c r="A4" s="28" t="s">
        <v>14</v>
      </c>
      <c r="B4" s="49" t="s">
        <v>134</v>
      </c>
      <c r="C4" s="77"/>
      <c r="D4" s="78"/>
      <c r="E4" s="49"/>
    </row>
    <row r="5" ht="22.5" customHeight="1">
      <c r="A5" s="28" t="s">
        <v>14</v>
      </c>
      <c r="B5" s="49" t="s">
        <v>135</v>
      </c>
      <c r="C5" s="77"/>
      <c r="D5" s="78"/>
      <c r="E5" s="49"/>
    </row>
    <row r="6" ht="22.5" customHeight="1">
      <c r="A6" s="28" t="s">
        <v>14</v>
      </c>
      <c r="B6" s="47" t="s">
        <v>31</v>
      </c>
      <c r="C6" s="29" t="s">
        <v>136</v>
      </c>
      <c r="D6" s="78"/>
      <c r="E6" s="49"/>
    </row>
    <row r="7" ht="22.5" customHeight="1">
      <c r="A7" s="28" t="s">
        <v>34</v>
      </c>
      <c r="B7" s="49" t="s">
        <v>137</v>
      </c>
      <c r="C7" s="77"/>
      <c r="D7" s="78"/>
      <c r="E7" s="49"/>
    </row>
    <row r="8" ht="22.5" customHeight="1">
      <c r="A8" s="28" t="s">
        <v>34</v>
      </c>
      <c r="B8" s="49" t="s">
        <v>138</v>
      </c>
      <c r="C8" s="77"/>
      <c r="D8" s="78"/>
      <c r="E8" s="49"/>
    </row>
    <row r="9" ht="22.5" customHeight="1">
      <c r="A9" s="28" t="s">
        <v>34</v>
      </c>
      <c r="B9" s="49" t="s">
        <v>139</v>
      </c>
      <c r="C9" s="77"/>
      <c r="D9" s="78"/>
      <c r="E9" s="47"/>
    </row>
    <row r="10" ht="22.5" customHeight="1">
      <c r="A10" s="28" t="s">
        <v>34</v>
      </c>
      <c r="B10" s="49" t="s">
        <v>62</v>
      </c>
      <c r="C10" s="77"/>
      <c r="D10" s="78"/>
      <c r="E10" s="49"/>
    </row>
    <row r="11" ht="22.5" customHeight="1">
      <c r="A11" s="28" t="s">
        <v>34</v>
      </c>
      <c r="B11" s="49" t="s">
        <v>63</v>
      </c>
      <c r="C11" s="77"/>
      <c r="D11" s="78"/>
      <c r="E11" s="49"/>
    </row>
    <row r="12" ht="22.5" customHeight="1">
      <c r="A12" s="28" t="s">
        <v>34</v>
      </c>
      <c r="B12" s="47" t="s">
        <v>66</v>
      </c>
      <c r="C12" s="29" t="s">
        <v>136</v>
      </c>
      <c r="D12" s="78"/>
      <c r="E12" s="49"/>
    </row>
    <row r="13" ht="22.5" customHeight="1">
      <c r="A13" s="28" t="s">
        <v>67</v>
      </c>
      <c r="B13" s="49" t="s">
        <v>140</v>
      </c>
      <c r="C13" s="77"/>
      <c r="D13" s="78"/>
      <c r="E13" s="47"/>
    </row>
    <row r="14" ht="22.5" customHeight="1">
      <c r="A14" s="28" t="s">
        <v>67</v>
      </c>
      <c r="B14" s="49" t="s">
        <v>141</v>
      </c>
      <c r="C14" s="77"/>
      <c r="D14" s="78"/>
      <c r="E14" s="49"/>
    </row>
    <row r="15" ht="22.5" customHeight="1">
      <c r="A15" s="28" t="s">
        <v>67</v>
      </c>
      <c r="B15" s="49" t="s">
        <v>142</v>
      </c>
      <c r="C15" s="77"/>
      <c r="D15" s="78"/>
      <c r="E15" s="49"/>
    </row>
    <row r="16" ht="22.5" customHeight="1">
      <c r="A16" s="28" t="s">
        <v>67</v>
      </c>
      <c r="B16" s="49" t="s">
        <v>143</v>
      </c>
      <c r="C16" s="77"/>
      <c r="D16" s="78"/>
      <c r="E16" s="49"/>
    </row>
    <row r="17" ht="22.5" customHeight="1">
      <c r="A17" s="28" t="s">
        <v>67</v>
      </c>
      <c r="B17" s="49" t="s">
        <v>144</v>
      </c>
      <c r="C17" s="77"/>
      <c r="D17" s="78"/>
      <c r="E17" s="49"/>
    </row>
    <row r="18" ht="22.5" customHeight="1">
      <c r="A18" s="28" t="s">
        <v>67</v>
      </c>
      <c r="B18" s="47" t="s">
        <v>89</v>
      </c>
      <c r="C18" s="29" t="s">
        <v>136</v>
      </c>
      <c r="D18" s="78"/>
      <c r="E18" s="49"/>
    </row>
    <row r="19" ht="22.5" customHeight="1">
      <c r="A19" s="28" t="s">
        <v>90</v>
      </c>
      <c r="B19" s="47" t="s">
        <v>106</v>
      </c>
      <c r="C19" s="29" t="s">
        <v>136</v>
      </c>
      <c r="D19" s="78"/>
      <c r="E19" s="47"/>
    </row>
    <row r="20" ht="22.5" customHeight="1">
      <c r="A20" s="28" t="s">
        <v>90</v>
      </c>
      <c r="B20" s="49" t="s">
        <v>102</v>
      </c>
      <c r="C20" s="77"/>
      <c r="D20" s="78"/>
      <c r="E20" s="49"/>
    </row>
  </sheetData>
  <dataValidations>
    <dataValidation type="list" allowBlank="1" sqref="A2:A20">
      <formula1>"Phase 1,Phase 2,Phase 3,Phase 4,Phase Padding"</formula1>
    </dataValidation>
    <dataValidation type="list" allowBlank="1" sqref="C2:C20">
      <formula1>"Call,Meeting,Buffer"</formula1>
    </dataValidation>
    <dataValidation type="list" allowBlank="1" sqref="D2:D20">
      <formula1>"Amy,Kellie,Nick,Daniel,Christian"</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11.63"/>
    <col customWidth="1" min="3" max="3" width="18.0"/>
    <col customWidth="1" min="4" max="4" width="11.5"/>
    <col customWidth="1" min="5" max="5" width="10.25"/>
    <col customWidth="1" min="6" max="6" width="12.38"/>
    <col customWidth="1" min="7" max="7" width="12.75"/>
    <col customWidth="1" min="8" max="8" width="10.88"/>
    <col customWidth="1" min="9" max="9" width="20.0"/>
    <col customWidth="1" min="10" max="10" width="19.25"/>
    <col customWidth="1" min="11" max="11" width="20.63"/>
  </cols>
  <sheetData>
    <row r="1" ht="22.5" customHeight="1">
      <c r="A1" s="79" t="s">
        <v>145</v>
      </c>
      <c r="B1" s="80" t="s">
        <v>114</v>
      </c>
      <c r="C1" s="80" t="s">
        <v>146</v>
      </c>
      <c r="D1" s="80" t="s">
        <v>9</v>
      </c>
      <c r="E1" s="81" t="s">
        <v>10</v>
      </c>
      <c r="F1" s="81" t="s">
        <v>11</v>
      </c>
      <c r="G1" s="81" t="s">
        <v>12</v>
      </c>
      <c r="H1" s="80" t="s">
        <v>147</v>
      </c>
      <c r="I1" s="81" t="s">
        <v>148</v>
      </c>
      <c r="J1" s="80" t="s">
        <v>149</v>
      </c>
      <c r="K1" s="80" t="s">
        <v>150</v>
      </c>
    </row>
    <row r="2" ht="22.5" customHeight="1">
      <c r="A2" s="82"/>
      <c r="B2" s="83"/>
      <c r="C2" s="83"/>
      <c r="D2" s="83"/>
      <c r="E2" s="84">
        <v>0.0</v>
      </c>
      <c r="F2" s="85">
        <v>0.0</v>
      </c>
      <c r="G2" s="85">
        <f t="shared" ref="G2:G3" si="1">E2*F2</f>
        <v>0</v>
      </c>
      <c r="H2" s="83"/>
      <c r="I2" s="86" t="b">
        <v>0</v>
      </c>
      <c r="J2" s="83" t="s">
        <v>151</v>
      </c>
      <c r="K2" s="86" t="b">
        <v>0</v>
      </c>
    </row>
    <row r="3" ht="22.5" customHeight="1">
      <c r="A3" s="82"/>
      <c r="B3" s="83"/>
      <c r="C3" s="83"/>
      <c r="D3" s="87"/>
      <c r="E3" s="84">
        <v>0.0</v>
      </c>
      <c r="F3" s="85">
        <v>0.0</v>
      </c>
      <c r="G3" s="85">
        <f t="shared" si="1"/>
        <v>0</v>
      </c>
      <c r="H3" s="87"/>
      <c r="I3" s="86" t="b">
        <v>0</v>
      </c>
      <c r="J3" s="87"/>
      <c r="K3" s="86" t="b">
        <v>0</v>
      </c>
    </row>
    <row r="4" ht="22.5" customHeight="1">
      <c r="A4" s="88"/>
      <c r="B4" s="89"/>
      <c r="C4" s="89"/>
      <c r="D4" s="89"/>
      <c r="E4" s="90"/>
      <c r="F4" s="90"/>
      <c r="G4" s="91">
        <f>SUM(Scope_Additions[Total])</f>
        <v>0</v>
      </c>
      <c r="H4" s="89"/>
      <c r="I4" s="89"/>
      <c r="J4" s="89"/>
      <c r="K4" s="89"/>
    </row>
    <row r="5">
      <c r="A5" s="92"/>
      <c r="B5" s="93"/>
      <c r="C5" s="93"/>
      <c r="D5" s="93"/>
      <c r="E5" s="94"/>
      <c r="F5" s="94"/>
      <c r="G5" s="94"/>
      <c r="H5" s="93"/>
      <c r="I5" s="93"/>
      <c r="J5" s="93"/>
      <c r="K5" s="93"/>
    </row>
    <row r="6">
      <c r="A6" s="95" t="s">
        <v>152</v>
      </c>
      <c r="B6" s="96"/>
      <c r="C6" s="96"/>
      <c r="D6" s="96"/>
      <c r="E6" s="97"/>
      <c r="F6" s="98"/>
      <c r="G6" s="99">
        <f>Master_Web[[#TOTALS],[Total]]</f>
        <v>1836.4</v>
      </c>
      <c r="H6" s="96"/>
      <c r="I6" s="96"/>
      <c r="J6" s="96"/>
      <c r="K6" s="96"/>
    </row>
    <row r="7">
      <c r="A7" s="92"/>
      <c r="B7" s="93"/>
      <c r="C7" s="93"/>
      <c r="D7" s="93"/>
      <c r="E7" s="94"/>
      <c r="F7" s="94"/>
      <c r="G7" s="94"/>
      <c r="H7" s="93"/>
      <c r="I7" s="93"/>
      <c r="J7" s="93"/>
      <c r="K7" s="93"/>
    </row>
    <row r="8">
      <c r="A8" s="95" t="s">
        <v>153</v>
      </c>
      <c r="B8" s="96"/>
      <c r="C8" s="96"/>
      <c r="D8" s="96"/>
      <c r="E8" s="97"/>
      <c r="F8" s="98"/>
      <c r="G8" s="99">
        <f>Scope_Additions[[#TOTALS],[Total]]+G6</f>
        <v>1836.4</v>
      </c>
      <c r="H8" s="96"/>
      <c r="I8" s="96"/>
      <c r="J8" s="96"/>
      <c r="K8" s="96"/>
    </row>
    <row r="9">
      <c r="A9" s="92"/>
      <c r="B9" s="93"/>
      <c r="C9" s="93"/>
      <c r="D9" s="93"/>
      <c r="E9" s="94"/>
      <c r="F9" s="94"/>
      <c r="G9" s="94"/>
      <c r="H9" s="93"/>
      <c r="I9" s="93"/>
      <c r="J9" s="93"/>
      <c r="K9" s="93"/>
    </row>
    <row r="10">
      <c r="A10" s="100" t="s">
        <v>154</v>
      </c>
      <c r="K10" s="101"/>
    </row>
    <row r="11">
      <c r="A11" s="102" t="s">
        <v>155</v>
      </c>
      <c r="K11" s="102"/>
    </row>
    <row r="12">
      <c r="A12" s="92"/>
      <c r="B12" s="93"/>
      <c r="C12" s="93"/>
      <c r="D12" s="93"/>
      <c r="E12" s="94"/>
      <c r="F12" s="94"/>
      <c r="G12" s="94"/>
      <c r="H12" s="93"/>
      <c r="I12" s="93"/>
      <c r="J12" s="93"/>
      <c r="K12" s="93"/>
    </row>
    <row r="13">
      <c r="A13" s="103" t="s">
        <v>156</v>
      </c>
      <c r="B13" s="104" t="s">
        <v>157</v>
      </c>
      <c r="F13" s="104" t="s">
        <v>12</v>
      </c>
      <c r="G13" s="104" t="s">
        <v>158</v>
      </c>
      <c r="H13" s="105"/>
      <c r="I13" s="105"/>
      <c r="J13" s="105"/>
      <c r="K13" s="105"/>
    </row>
    <row r="14">
      <c r="A14" s="92"/>
      <c r="B14" s="106" t="s">
        <v>159</v>
      </c>
      <c r="F14" s="107"/>
      <c r="G14" s="94"/>
      <c r="H14" s="93"/>
      <c r="I14" s="93"/>
      <c r="J14" s="93"/>
      <c r="K14" s="93"/>
    </row>
    <row r="15">
      <c r="A15" s="92"/>
      <c r="B15" s="106" t="s">
        <v>159</v>
      </c>
      <c r="F15" s="107"/>
      <c r="G15" s="94"/>
      <c r="H15" s="93"/>
      <c r="I15" s="93"/>
      <c r="J15" s="93"/>
      <c r="K15" s="93"/>
    </row>
    <row r="16">
      <c r="A16" s="92"/>
      <c r="B16" s="106" t="s">
        <v>159</v>
      </c>
      <c r="F16" s="107"/>
      <c r="G16" s="94"/>
      <c r="H16" s="93"/>
      <c r="I16" s="93"/>
      <c r="J16" s="93"/>
      <c r="K16" s="93"/>
    </row>
    <row r="17">
      <c r="A17" s="92"/>
      <c r="B17" s="93"/>
      <c r="C17" s="93"/>
      <c r="D17" s="93"/>
      <c r="E17" s="94"/>
      <c r="F17" s="94"/>
      <c r="G17" s="94"/>
      <c r="H17" s="93"/>
      <c r="I17" s="93"/>
      <c r="J17" s="93"/>
      <c r="K17" s="93"/>
    </row>
  </sheetData>
  <mergeCells count="6">
    <mergeCell ref="A10:J10"/>
    <mergeCell ref="A11:J11"/>
    <mergeCell ref="B13:E13"/>
    <mergeCell ref="B14:E14"/>
    <mergeCell ref="B15:E15"/>
    <mergeCell ref="B16:E16"/>
  </mergeCells>
  <dataValidations>
    <dataValidation type="custom" allowBlank="1" showDropDown="1" sqref="F2:G3">
      <formula1>AND(ISNUMBER(F2),(NOT(OR(NOT(ISERROR(DATEVALUE(F2))), AND(ISNUMBER(F2), LEFT(CELL("format", F2))="D")))))</formula1>
    </dataValidation>
  </dataValidations>
  <hyperlinks>
    <hyperlink r:id="rId1" location="heading=h.9pytwsfset43" ref="A10"/>
  </hyperlinks>
  <drawing r:id="rId2"/>
  <tableParts count="1">
    <tablePart r:id="rId4"/>
  </tableParts>
</worksheet>
</file>