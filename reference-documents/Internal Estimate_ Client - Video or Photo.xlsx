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oto or Video" sheetId="1" r:id="rId5"/>
    <sheet state="visible" name="Rates" sheetId="2" r:id="rId6"/>
  </sheets>
  <definedNames/>
  <calcPr/>
</workbook>
</file>

<file path=xl/sharedStrings.xml><?xml version="1.0" encoding="utf-8"?>
<sst xmlns="http://schemas.openxmlformats.org/spreadsheetml/2006/main" count="156" uniqueCount="101">
  <si>
    <t>Internal Estimate</t>
  </si>
  <si>
    <t>Client:</t>
  </si>
  <si>
    <t>TBD</t>
  </si>
  <si>
    <t>Project:</t>
  </si>
  <si>
    <t>Date Estimated:</t>
  </si>
  <si>
    <t xml:space="preserve">Phase </t>
  </si>
  <si>
    <t xml:space="preserve">Activity </t>
  </si>
  <si>
    <t>Item</t>
  </si>
  <si>
    <t>Description</t>
  </si>
  <si>
    <t>Team</t>
  </si>
  <si>
    <t>Hours</t>
  </si>
  <si>
    <t>Rate</t>
  </si>
  <si>
    <t>Total</t>
  </si>
  <si>
    <t>Notes / Explanations</t>
  </si>
  <si>
    <t>Phase 1. Pre-Production</t>
  </si>
  <si>
    <t xml:space="preserve">Account Service </t>
  </si>
  <si>
    <t>Internal Project Kick-Off Call</t>
  </si>
  <si>
    <t xml:space="preserve">Time allocated for the internal team to align on project objectives, deliverables, timelines, and roles before beginning work. </t>
  </si>
  <si>
    <t>This should include Kellie, the account manager and Nick. This call should be limited to 30 or 45 minutes depending on the scope.</t>
  </si>
  <si>
    <t>Creative briefing and planning session</t>
  </si>
  <si>
    <t>Initial meeting with the client to align on goals, target audience, messaging, and visual direction for the shoot.</t>
  </si>
  <si>
    <t>This should include the client, the account manager and Nick. This call should be limited to 30 or 45 minutes depending on the scope.</t>
  </si>
  <si>
    <t xml:space="preserve">Creative Direction </t>
  </si>
  <si>
    <t>Storyboarding / Shot List Creation</t>
  </si>
  <si>
    <t>Development of a visual plan and detailed list of required shots to guide production and ensure coverage.</t>
  </si>
  <si>
    <t xml:space="preserve">If this is something Nick would do in a project, I would bill at our Creative Design rate of $150/hr. If he is only overseeing the process, then Creative Direction is good. </t>
  </si>
  <si>
    <t>Site Walkthrough</t>
  </si>
  <si>
    <t>Site visit to assess lighting, logistics, and space, to plan optimal setups for filming or photography.</t>
  </si>
  <si>
    <r>
      <rPr>
        <rFont val="DM Sans"/>
        <b/>
        <color rgb="FFFF00FF"/>
        <sz val="9.0"/>
      </rPr>
      <t>This</t>
    </r>
    <r>
      <rPr>
        <rFont val="DM Sans"/>
        <color rgb="FF000000"/>
        <sz val="9.0"/>
      </rPr>
      <t xml:space="preserve"> </t>
    </r>
    <r>
      <rPr>
        <rFont val="DM Sans"/>
        <b/>
        <color rgb="FFFF00FF"/>
        <sz val="9.0"/>
      </rPr>
      <t>should include Nick and the account manager. Bill to Account Management.</t>
    </r>
  </si>
  <si>
    <t xml:space="preserve">Production Management </t>
  </si>
  <si>
    <t>Scheduling and Coordination</t>
  </si>
  <si>
    <t>Organizing shoot date(s), talent, crew, equipment, and client approvals to ensure a smooth production day.</t>
  </si>
  <si>
    <t xml:space="preserve">Phase 2. Production </t>
  </si>
  <si>
    <t>Oversee Shoot</t>
  </si>
  <si>
    <t xml:space="preserve">The Account Manager will be present at the shoot for up to XX hours. </t>
  </si>
  <si>
    <t>Time for the AM to attend the shoot</t>
  </si>
  <si>
    <t>Photography</t>
  </si>
  <si>
    <t>1 full-day photo shoot</t>
  </si>
  <si>
    <t>Photography up to 8 hours</t>
  </si>
  <si>
    <t>Nick</t>
  </si>
  <si>
    <t xml:space="preserve">Photography Assistant </t>
  </si>
  <si>
    <t>Photography Assistant</t>
  </si>
  <si>
    <t>Assistance up to 8 hours</t>
  </si>
  <si>
    <t>Creative Direction</t>
  </si>
  <si>
    <t>Up to 8 hours</t>
  </si>
  <si>
    <t>Add if Nick is attending a video shoot</t>
  </si>
  <si>
    <t>1 half-day photo shoot</t>
  </si>
  <si>
    <t>Photography up to 4 hours</t>
  </si>
  <si>
    <t>Assistance up to 4 hours</t>
  </si>
  <si>
    <t>Up to 4 hours</t>
  </si>
  <si>
    <t xml:space="preserve">Phase 3. Vendor </t>
  </si>
  <si>
    <t xml:space="preserve">Vendor </t>
  </si>
  <si>
    <t>Pre Production</t>
  </si>
  <si>
    <t>Creative consultation, content planning and pre production</t>
  </si>
  <si>
    <t>Equipment</t>
  </si>
  <si>
    <t>1st Shooter Video</t>
  </si>
  <si>
    <t>Editing</t>
  </si>
  <si>
    <t xml:space="preserve">Phase. 4 Editing </t>
  </si>
  <si>
    <t xml:space="preserve">General </t>
  </si>
  <si>
    <t xml:space="preserve">Account Management </t>
  </si>
  <si>
    <t>Day-to-day communication, project coordination, and client relationship management.</t>
  </si>
  <si>
    <t>Production Management</t>
  </si>
  <si>
    <t>Oversight of the website project from initiation through final delivery. This includes task scheduling, timeline management, resource coordination, internal workflow tracking, quality control, and ensuring all project milestones are met.</t>
  </si>
  <si>
    <t>Marketing Coordinator</t>
  </si>
  <si>
    <t xml:space="preserve">Marketing Coordinator </t>
  </si>
  <si>
    <t>Execution and support of marketing initiatives, including campaign setup, content scheduling, asset organization, and cross-team coordination to ensure timely and accurate delivery.</t>
  </si>
  <si>
    <t>Formulating New Business</t>
  </si>
  <si>
    <t xml:space="preserve">Formulating New Business </t>
  </si>
  <si>
    <t>Notes</t>
  </si>
  <si>
    <t>Raw Footage</t>
  </si>
  <si>
    <t xml:space="preserve">Raw Footage </t>
  </si>
  <si>
    <t>If requested, 50% of project total.</t>
  </si>
  <si>
    <t>Notes:</t>
  </si>
  <si>
    <t>Services</t>
  </si>
  <si>
    <t>Default Description</t>
  </si>
  <si>
    <t>Consulting</t>
  </si>
  <si>
    <t>Strategic guidance and recommendations to shape marketing direction, campaigns, and overall business growth.</t>
  </si>
  <si>
    <t>Creative Design</t>
  </si>
  <si>
    <t>Development of visual concepts and graphic assets to support marketing initiatives and campaigns.</t>
  </si>
  <si>
    <t>Website Design</t>
  </si>
  <si>
    <t>Planning and designing the look, feel, and user experience of a website to align with brand and business goals.</t>
  </si>
  <si>
    <t>Website Development</t>
  </si>
  <si>
    <t>Building and coding functional websites, including custom features, integrations, and responsive layouts.</t>
  </si>
  <si>
    <t>Professional photography services to capture branded imagery for use across digital and print platforms.</t>
  </si>
  <si>
    <t>On-site support for photography sessions, including setup, staging, and production assistance.</t>
  </si>
  <si>
    <t>Copywriting</t>
  </si>
  <si>
    <t>Writing persuasive, clear, and brand-aligned content for websites, ads, campaigns, and collateral.</t>
  </si>
  <si>
    <t>Email Marketing</t>
  </si>
  <si>
    <t>Design, development, and deployment of email campaigns to targeted audiences.</t>
  </si>
  <si>
    <t>Social Media</t>
  </si>
  <si>
    <t>Content creation, posting, and campaign management across social platforms.</t>
  </si>
  <si>
    <t>SEO</t>
  </si>
  <si>
    <t>Optimization of website structure, content, and keywords to improve visibility and search engine rankings.</t>
  </si>
  <si>
    <t>Oversight of the creative vision and execution to ensure consistency across all marketing touchpoints.</t>
  </si>
  <si>
    <t>Account Management</t>
  </si>
  <si>
    <t>Coordination of deliverables, vendors, and timelines to ensure smooth execution of projects.</t>
  </si>
  <si>
    <t>Account Strategy</t>
  </si>
  <si>
    <t>High-level planning and strategic oversight to align marketing efforts with client business goals, budgets, and performance objectives. This includes ongoing analysis, prioritization of initiatives, proactive recommendations, and guidance to ensure all tactics are working together effectively.</t>
  </si>
  <si>
    <t>Identifying opportunities, creating proposals, and developing strategies to secure new client work. (MM/DD/YY - MM/DD/YY)</t>
  </si>
  <si>
    <t>Vendor Rates and Markups:</t>
  </si>
  <si>
    <t>Standard Vendor and Media Markups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</si>
</sst>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b/>
      <sz val="36.0"/>
      <color theme="1"/>
      <name val="DM Sans"/>
    </font>
    <font>
      <b/>
      <sz val="9.0"/>
      <color theme="1"/>
      <name val="DM Sans"/>
    </font>
    <font>
      <sz val="9.0"/>
      <color theme="1"/>
      <name val="Arial"/>
      <scheme val="minor"/>
    </font>
    <font>
      <color theme="1"/>
      <name val="Arial"/>
    </font>
    <font>
      <b/>
      <sz val="11.0"/>
      <color theme="1"/>
      <name val="DM Sans"/>
    </font>
    <font>
      <sz val="11.0"/>
      <color theme="1"/>
      <name val="DM Sans"/>
    </font>
    <font>
      <sz val="9.0"/>
      <color theme="1"/>
      <name val="DM Sans"/>
    </font>
    <font>
      <sz val="9.0"/>
      <color rgb="FF000000"/>
      <name val="DM Sans"/>
    </font>
    <font>
      <b/>
      <sz val="9.0"/>
      <color rgb="FFFF00FF"/>
      <name val="DM Sans"/>
    </font>
    <font>
      <b/>
      <sz val="9.0"/>
      <color rgb="FF000000"/>
      <name val="DM Sans"/>
    </font>
    <font>
      <b/>
      <sz val="9.0"/>
      <color rgb="FF6E7C80"/>
      <name val="DM Sans"/>
    </font>
    <font>
      <u/>
      <sz val="9.0"/>
      <color rgb="FF00E2FF"/>
      <name val="DM Sans"/>
    </font>
  </fonts>
  <fills count="5">
    <fill>
      <patternFill patternType="none"/>
    </fill>
    <fill>
      <patternFill patternType="lightGray"/>
    </fill>
    <fill>
      <patternFill patternType="solid">
        <fgColor rgb="FFFFF2CC"/>
        <bgColor rgb="FFFFF2CC"/>
      </patternFill>
    </fill>
    <fill>
      <patternFill patternType="solid">
        <fgColor rgb="FFF6F8F9"/>
        <bgColor rgb="FFF6F8F9"/>
      </patternFill>
    </fill>
    <fill>
      <patternFill patternType="solid">
        <fgColor rgb="FFF1F1F5"/>
        <bgColor rgb="FFF1F1F5"/>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vertical="center"/>
    </xf>
    <xf borderId="0" fillId="0" fontId="3" numFmtId="0" xfId="0" applyFont="1"/>
    <xf borderId="0" fillId="0" fontId="4" numFmtId="0" xfId="0" applyFont="1"/>
    <xf borderId="0" fillId="0" fontId="4" numFmtId="49" xfId="0" applyFont="1" applyNumberFormat="1"/>
    <xf borderId="0" fillId="0" fontId="4" numFmtId="164" xfId="0" applyFont="1" applyNumberFormat="1"/>
    <xf borderId="0" fillId="0" fontId="4" numFmtId="164" xfId="0" applyAlignment="1" applyFont="1" applyNumberFormat="1">
      <alignment vertical="bottom"/>
    </xf>
    <xf borderId="0" fillId="0" fontId="5" numFmtId="0" xfId="0" applyAlignment="1" applyFont="1">
      <alignment shrinkToFit="0" wrapText="1"/>
    </xf>
    <xf borderId="0" fillId="0" fontId="6" numFmtId="0" xfId="0" applyAlignment="1" applyFont="1">
      <alignment shrinkToFit="0" wrapText="1"/>
    </xf>
    <xf borderId="0" fillId="0" fontId="2" numFmtId="49" xfId="0" applyAlignment="1" applyFont="1" applyNumberFormat="1">
      <alignment readingOrder="0" vertical="center"/>
    </xf>
    <xf borderId="0" fillId="0" fontId="2" numFmtId="0" xfId="0" applyAlignment="1" applyFont="1">
      <alignment horizontal="left" readingOrder="0" vertical="center"/>
    </xf>
    <xf borderId="0" fillId="0" fontId="2" numFmtId="0" xfId="0" applyAlignment="1" applyFont="1">
      <alignment horizontal="center" readingOrder="0" vertical="center"/>
    </xf>
    <xf borderId="0" fillId="0" fontId="2" numFmtId="164" xfId="0" applyAlignment="1" applyFont="1" applyNumberFormat="1">
      <alignment horizontal="center" readingOrder="0" vertical="center"/>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7" numFmtId="164" xfId="0" applyAlignment="1" applyFont="1" applyNumberFormat="1">
      <alignment horizontal="center"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2" fontId="7" numFmtId="0" xfId="0" applyAlignment="1" applyFill="1" applyFont="1">
      <alignment readingOrder="0" shrinkToFit="0" vertical="center" wrapText="1"/>
    </xf>
    <xf borderId="0" fillId="2" fontId="7" numFmtId="0" xfId="0" applyAlignment="1" applyFont="1">
      <alignment readingOrder="0" shrinkToFit="0" vertical="center" wrapText="1"/>
    </xf>
    <xf borderId="0" fillId="2" fontId="7" numFmtId="0" xfId="0" applyAlignment="1" applyFont="1">
      <alignment readingOrder="0" shrinkToFit="0" vertical="center" wrapText="1"/>
    </xf>
    <xf borderId="0" fillId="2" fontId="7" numFmtId="0" xfId="0" applyAlignment="1" applyFont="1">
      <alignment horizontal="center" readingOrder="0" shrinkToFit="0" vertical="center" wrapText="1"/>
    </xf>
    <xf borderId="0" fillId="2" fontId="7" numFmtId="164" xfId="0" applyAlignment="1" applyFont="1" applyNumberFormat="1">
      <alignment horizontal="center" readingOrder="0" shrinkToFit="0" vertical="center" wrapText="1"/>
    </xf>
    <xf borderId="0" fillId="2" fontId="8" numFmtId="0" xfId="0" applyAlignment="1" applyFont="1">
      <alignment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center" readingOrder="0" shrinkToFit="0" vertical="center" wrapText="1"/>
    </xf>
    <xf borderId="0" fillId="0" fontId="10" numFmtId="164" xfId="0" applyAlignment="1" applyFont="1" applyNumberForma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shrinkToFit="0" vertical="center" wrapText="1"/>
    </xf>
    <xf borderId="0" fillId="0" fontId="10" numFmtId="0" xfId="0" applyAlignment="1" applyFont="1">
      <alignment horizontal="left" shrinkToFit="0" wrapText="1"/>
    </xf>
    <xf borderId="0" fillId="0" fontId="8" numFmtId="0" xfId="0" applyAlignment="1" applyFont="1">
      <alignment readingOrder="0" shrinkToFit="0" vertical="center" wrapText="1"/>
    </xf>
    <xf borderId="0" fillId="3" fontId="8" numFmtId="0" xfId="0" applyAlignment="1" applyFill="1" applyFont="1">
      <alignment readingOrder="0" shrinkToFit="0" vertical="center" wrapText="1"/>
    </xf>
    <xf borderId="0" fillId="0" fontId="8" numFmtId="164" xfId="0" applyAlignment="1" applyFont="1" applyNumberFormat="1">
      <alignment horizontal="center" readingOrder="0" shrinkToFit="0" vertical="center" wrapText="1"/>
    </xf>
    <xf borderId="0" fillId="4" fontId="10" numFmtId="0" xfId="0" applyAlignment="1" applyFill="1" applyFont="1">
      <alignment horizontal="left" shrinkToFit="0" wrapText="1"/>
    </xf>
    <xf borderId="0" fillId="4" fontId="2" numFmtId="0" xfId="0" applyAlignment="1" applyFont="1">
      <alignment shrinkToFit="0" vertical="bottom" wrapText="1"/>
    </xf>
    <xf borderId="0" fillId="4" fontId="2" numFmtId="0" xfId="0" applyAlignment="1" applyFont="1">
      <alignment shrinkToFit="0" vertical="bottom" wrapText="1"/>
    </xf>
    <xf borderId="0" fillId="4" fontId="2" numFmtId="0" xfId="0" applyAlignment="1" applyFont="1">
      <alignment shrinkToFit="0" vertical="center" wrapText="1"/>
    </xf>
    <xf borderId="0" fillId="4" fontId="2" numFmtId="164" xfId="0" applyAlignment="1" applyFont="1" applyNumberFormat="1">
      <alignment horizontal="center" shrinkToFit="0" vertical="center" wrapText="1"/>
    </xf>
    <xf borderId="0" fillId="0" fontId="2" numFmtId="0" xfId="0" applyAlignment="1" applyFont="1">
      <alignment shrinkToFit="0" vertical="center" wrapText="1"/>
    </xf>
    <xf borderId="0" fillId="0" fontId="7" numFmtId="0" xfId="0" applyAlignment="1" applyFont="1">
      <alignment shrinkToFit="0" vertical="center" wrapText="1"/>
    </xf>
    <xf borderId="0" fillId="0" fontId="7" numFmtId="164" xfId="0" applyAlignment="1" applyFont="1" applyNumberFormat="1">
      <alignment horizontal="center" shrinkToFit="0" vertical="center" wrapText="1"/>
    </xf>
    <xf borderId="0" fillId="0" fontId="2" numFmtId="0" xfId="0" applyAlignment="1" applyFont="1">
      <alignment shrinkToFit="0" vertical="center" wrapText="1"/>
    </xf>
    <xf borderId="0" fillId="0" fontId="7" numFmtId="0" xfId="0" applyAlignment="1" applyFont="1">
      <alignment shrinkToFit="0" vertical="center" wrapText="1"/>
    </xf>
    <xf borderId="0" fillId="0" fontId="4" numFmtId="0" xfId="0" applyAlignment="1" applyFont="1">
      <alignment vertical="center"/>
    </xf>
    <xf borderId="0" fillId="0" fontId="4" numFmtId="164" xfId="0" applyAlignment="1" applyFont="1" applyNumberFormat="1">
      <alignment vertical="center"/>
    </xf>
    <xf borderId="0" fillId="0" fontId="11" numFmtId="0" xfId="0" applyAlignment="1" applyFont="1">
      <alignment shrinkToFit="0" vertical="center" wrapText="1"/>
    </xf>
    <xf borderId="0" fillId="0" fontId="12" numFmtId="0" xfId="0" applyAlignment="1" applyFont="1">
      <alignment shrinkToFit="0" vertical="center" wrapText="1"/>
    </xf>
    <xf borderId="0" fillId="0" fontId="8" numFmtId="0" xfId="0" applyAlignment="1" applyFont="1">
      <alignment vertical="center"/>
    </xf>
    <xf borderId="0" fillId="0" fontId="8" numFmtId="164" xfId="0" applyAlignment="1" applyFont="1" applyNumberFormat="1">
      <alignment vertical="center"/>
    </xf>
  </cellXfs>
  <cellStyles count="1">
    <cellStyle xfId="0" name="Normal" builtinId="0"/>
  </cellStyles>
  <dxfs count="6">
    <dxf>
      <font/>
      <fill>
        <patternFill patternType="none"/>
      </fill>
      <border/>
    </dxf>
    <dxf>
      <font/>
      <fill>
        <patternFill patternType="solid">
          <fgColor rgb="FF00E2FF"/>
          <bgColor rgb="FF00E2FF"/>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FF7FF"/>
          <bgColor rgb="FFBFF7FF"/>
        </patternFill>
      </fill>
      <border/>
    </dxf>
    <dxf>
      <border>
        <left style="thin">
          <color rgb="FF00E2FF"/>
        </left>
        <right style="thin">
          <color rgb="FF00E2FF"/>
        </right>
        <top style="thin">
          <color rgb="FF00E2FF"/>
        </top>
        <bottom style="thin">
          <color rgb="FF00E2FF"/>
        </bottom>
      </border>
    </dxf>
  </dxfs>
  <tableStyles count="2">
    <tableStyle count="5" pivot="0" name="Photo or Video-style">
      <tableStyleElement dxfId="1" type="headerRow"/>
      <tableStyleElement dxfId="2" type="firstRowStripe"/>
      <tableStyleElement dxfId="3" type="secondRowStripe"/>
      <tableStyleElement dxfId="4" type="totalRow"/>
      <tableStyleElement dxfId="5" size="0" type="wholeTable"/>
    </tableStyle>
    <tableStyle count="4" pivot="0" name="Photo or Video-style 2">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3:I35" displayName="Photo_or_Video" name="Photo_or_Video" id="1">
  <tableColumns count="9">
    <tableColumn name="Phase " id="1"/>
    <tableColumn name="Activity " id="2"/>
    <tableColumn name="Item" id="3"/>
    <tableColumn name="Description" id="4"/>
    <tableColumn name="Team" id="5"/>
    <tableColumn name="Hours" id="6"/>
    <tableColumn name="Rate" id="7"/>
    <tableColumn totalsRowFunction="custom" name="Total" id="8"/>
    <tableColumn name="Notes / Explanations" id="9"/>
  </tableColumns>
  <tableStyleInfo name="Photo or Video-style" showColumnStripes="0" showFirstColumn="1" showLastColumn="1" showRowStripes="1"/>
</table>
</file>

<file path=xl/tables/table2.xml><?xml version="1.0" encoding="utf-8"?>
<table xmlns="http://schemas.openxmlformats.org/spreadsheetml/2006/main" ref="A38:F39" displayName="Raw_Footage" name="Raw_Footage" id="2">
  <tableColumns count="6">
    <tableColumn name="Phase " id="1"/>
    <tableColumn name="Activity " id="2"/>
    <tableColumn name="Item" id="3"/>
    <tableColumn name="Description" id="4"/>
    <tableColumn name="Total" id="5"/>
    <tableColumn name="Notes" id="6"/>
  </tableColumns>
  <tableStyleInfo name="Photo or Video-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pCNjcJYjUbd4zM969N_yaYjrOXB8hPmWcQyvsdBVBfE/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13"/>
    <col customWidth="1" min="2" max="2" width="23.88"/>
    <col customWidth="1" min="3" max="3" width="25.88"/>
    <col customWidth="1" min="4" max="4" width="31.5"/>
    <col customWidth="1" min="5" max="5" width="13.63"/>
    <col customWidth="1" min="6" max="8" width="12.13"/>
    <col customWidth="1" min="9" max="10" width="28.5"/>
  </cols>
  <sheetData>
    <row r="1">
      <c r="A1" s="1" t="s">
        <v>0</v>
      </c>
      <c r="I1" s="2"/>
      <c r="J1" s="3"/>
    </row>
    <row r="2">
      <c r="A2" s="4"/>
      <c r="B2" s="5"/>
      <c r="C2" s="4"/>
      <c r="D2" s="4"/>
      <c r="E2" s="4"/>
      <c r="F2" s="4"/>
      <c r="G2" s="6"/>
      <c r="H2" s="7"/>
      <c r="I2" s="2"/>
      <c r="J2" s="3"/>
    </row>
    <row r="3">
      <c r="A3" s="8" t="s">
        <v>1</v>
      </c>
      <c r="B3" s="5"/>
      <c r="C3" s="4"/>
      <c r="D3" s="4"/>
      <c r="E3" s="4"/>
      <c r="F3" s="4"/>
      <c r="G3" s="6"/>
      <c r="H3" s="7"/>
      <c r="I3" s="2"/>
      <c r="J3" s="3"/>
    </row>
    <row r="4">
      <c r="A4" s="9" t="s">
        <v>2</v>
      </c>
      <c r="I4" s="2"/>
      <c r="J4" s="3"/>
    </row>
    <row r="5">
      <c r="A5" s="4"/>
      <c r="B5" s="5"/>
      <c r="C5" s="4"/>
      <c r="D5" s="4"/>
      <c r="E5" s="4"/>
      <c r="F5" s="4"/>
      <c r="G5" s="6"/>
      <c r="H5" s="7"/>
      <c r="I5" s="2"/>
      <c r="J5" s="3"/>
    </row>
    <row r="6">
      <c r="A6" s="8" t="s">
        <v>3</v>
      </c>
      <c r="B6" s="5"/>
      <c r="C6" s="4"/>
      <c r="D6" s="4"/>
      <c r="E6" s="4"/>
      <c r="F6" s="4"/>
      <c r="G6" s="6"/>
      <c r="H6" s="7"/>
      <c r="I6" s="2"/>
      <c r="J6" s="3"/>
    </row>
    <row r="7">
      <c r="A7" s="9" t="s">
        <v>2</v>
      </c>
      <c r="I7" s="2"/>
      <c r="J7" s="3"/>
    </row>
    <row r="8">
      <c r="A8" s="4"/>
      <c r="B8" s="5"/>
      <c r="C8" s="4"/>
      <c r="D8" s="4"/>
      <c r="E8" s="4"/>
      <c r="F8" s="6"/>
      <c r="G8" s="6"/>
      <c r="H8" s="7"/>
      <c r="I8" s="2"/>
      <c r="J8" s="3"/>
    </row>
    <row r="9">
      <c r="A9" s="8" t="s">
        <v>4</v>
      </c>
      <c r="B9" s="5"/>
      <c r="C9" s="4"/>
      <c r="D9" s="4"/>
      <c r="E9" s="4"/>
      <c r="F9" s="4"/>
      <c r="G9" s="6"/>
      <c r="H9" s="7"/>
      <c r="I9" s="2"/>
      <c r="J9" s="3"/>
    </row>
    <row r="10">
      <c r="A10" s="9" t="s">
        <v>2</v>
      </c>
      <c r="I10" s="2"/>
      <c r="J10" s="3"/>
    </row>
    <row r="11">
      <c r="A11" s="4"/>
      <c r="B11" s="5"/>
      <c r="C11" s="4"/>
      <c r="D11" s="4"/>
      <c r="E11" s="4"/>
      <c r="F11" s="4"/>
      <c r="G11" s="6"/>
      <c r="H11" s="6"/>
      <c r="I11" s="2"/>
      <c r="J11" s="3"/>
    </row>
    <row r="12">
      <c r="A12" s="2"/>
      <c r="B12" s="10"/>
      <c r="C12" s="2"/>
      <c r="D12" s="11"/>
      <c r="E12" s="12"/>
      <c r="F12" s="12"/>
      <c r="G12" s="13"/>
      <c r="H12" s="13"/>
      <c r="I12" s="2"/>
      <c r="J12" s="3"/>
    </row>
    <row r="13" ht="22.5" customHeight="1">
      <c r="A13" s="14" t="s">
        <v>5</v>
      </c>
      <c r="B13" s="15" t="s">
        <v>6</v>
      </c>
      <c r="C13" s="14" t="s">
        <v>7</v>
      </c>
      <c r="D13" s="14" t="s">
        <v>8</v>
      </c>
      <c r="E13" s="16" t="s">
        <v>9</v>
      </c>
      <c r="F13" s="16" t="s">
        <v>10</v>
      </c>
      <c r="G13" s="17" t="s">
        <v>11</v>
      </c>
      <c r="H13" s="17" t="s">
        <v>12</v>
      </c>
      <c r="I13" s="14" t="s">
        <v>13</v>
      </c>
      <c r="J13" s="3"/>
    </row>
    <row r="14" ht="22.5" customHeight="1">
      <c r="A14" s="18" t="s">
        <v>14</v>
      </c>
      <c r="B14" s="18" t="s">
        <v>15</v>
      </c>
      <c r="C14" s="19" t="s">
        <v>16</v>
      </c>
      <c r="D14" s="19" t="s">
        <v>17</v>
      </c>
      <c r="E14" s="20"/>
      <c r="F14" s="21">
        <v>0.0</v>
      </c>
      <c r="G14" s="22">
        <v>100.0</v>
      </c>
      <c r="H14" s="22">
        <f t="shared" ref="H14:H25" si="1">F14*G14</f>
        <v>0</v>
      </c>
      <c r="I14" s="23" t="s">
        <v>18</v>
      </c>
      <c r="J14" s="3"/>
    </row>
    <row r="15" ht="22.5" customHeight="1">
      <c r="A15" s="18" t="s">
        <v>14</v>
      </c>
      <c r="B15" s="18" t="s">
        <v>15</v>
      </c>
      <c r="C15" s="19" t="s">
        <v>19</v>
      </c>
      <c r="D15" s="19" t="s">
        <v>20</v>
      </c>
      <c r="E15" s="20"/>
      <c r="F15" s="21">
        <v>0.0</v>
      </c>
      <c r="G15" s="22">
        <v>100.0</v>
      </c>
      <c r="H15" s="22">
        <f t="shared" si="1"/>
        <v>0</v>
      </c>
      <c r="I15" s="23" t="s">
        <v>21</v>
      </c>
      <c r="J15" s="3"/>
    </row>
    <row r="16" ht="22.5" customHeight="1">
      <c r="A16" s="18" t="s">
        <v>14</v>
      </c>
      <c r="B16" s="18" t="s">
        <v>22</v>
      </c>
      <c r="C16" s="19" t="s">
        <v>23</v>
      </c>
      <c r="D16" s="19" t="s">
        <v>24</v>
      </c>
      <c r="E16" s="20"/>
      <c r="F16" s="21">
        <v>0.0</v>
      </c>
      <c r="G16" s="22">
        <v>100.0</v>
      </c>
      <c r="H16" s="22">
        <f t="shared" si="1"/>
        <v>0</v>
      </c>
      <c r="I16" s="24" t="s">
        <v>25</v>
      </c>
      <c r="J16" s="3"/>
    </row>
    <row r="17" ht="22.5" customHeight="1">
      <c r="A17" s="18" t="s">
        <v>14</v>
      </c>
      <c r="B17" s="18" t="s">
        <v>15</v>
      </c>
      <c r="C17" s="19" t="s">
        <v>26</v>
      </c>
      <c r="D17" s="19" t="s">
        <v>27</v>
      </c>
      <c r="E17" s="20"/>
      <c r="F17" s="21">
        <v>0.0</v>
      </c>
      <c r="G17" s="22">
        <v>100.0</v>
      </c>
      <c r="H17" s="22">
        <f t="shared" si="1"/>
        <v>0</v>
      </c>
      <c r="I17" s="23" t="s">
        <v>28</v>
      </c>
      <c r="J17" s="3"/>
    </row>
    <row r="18" ht="22.5" customHeight="1">
      <c r="A18" s="18" t="s">
        <v>14</v>
      </c>
      <c r="B18" s="18" t="s">
        <v>29</v>
      </c>
      <c r="C18" s="19" t="s">
        <v>30</v>
      </c>
      <c r="D18" s="19" t="s">
        <v>31</v>
      </c>
      <c r="E18" s="20"/>
      <c r="F18" s="21">
        <v>0.0</v>
      </c>
      <c r="G18" s="22">
        <v>100.0</v>
      </c>
      <c r="H18" s="22">
        <f t="shared" si="1"/>
        <v>0</v>
      </c>
      <c r="I18" s="23"/>
      <c r="J18" s="3"/>
    </row>
    <row r="19" ht="22.5" customHeight="1">
      <c r="A19" s="18" t="s">
        <v>32</v>
      </c>
      <c r="B19" s="18" t="s">
        <v>15</v>
      </c>
      <c r="C19" s="19" t="s">
        <v>33</v>
      </c>
      <c r="D19" s="19" t="s">
        <v>34</v>
      </c>
      <c r="E19" s="20"/>
      <c r="F19" s="21">
        <v>0.0</v>
      </c>
      <c r="G19" s="22">
        <v>100.0</v>
      </c>
      <c r="H19" s="22">
        <f t="shared" si="1"/>
        <v>0</v>
      </c>
      <c r="I19" s="23" t="s">
        <v>35</v>
      </c>
      <c r="J19" s="3"/>
    </row>
    <row r="20" ht="22.5" customHeight="1">
      <c r="A20" s="18" t="s">
        <v>32</v>
      </c>
      <c r="B20" s="18" t="s">
        <v>36</v>
      </c>
      <c r="C20" s="19" t="s">
        <v>37</v>
      </c>
      <c r="D20" s="19" t="s">
        <v>38</v>
      </c>
      <c r="E20" s="19" t="s">
        <v>39</v>
      </c>
      <c r="F20" s="21">
        <v>8.0</v>
      </c>
      <c r="G20" s="22">
        <v>250.0</v>
      </c>
      <c r="H20" s="22">
        <f t="shared" si="1"/>
        <v>2000</v>
      </c>
      <c r="I20" s="23"/>
      <c r="J20" s="3"/>
    </row>
    <row r="21" ht="22.5" customHeight="1">
      <c r="A21" s="18" t="s">
        <v>32</v>
      </c>
      <c r="B21" s="18" t="s">
        <v>40</v>
      </c>
      <c r="C21" s="19" t="s">
        <v>41</v>
      </c>
      <c r="D21" s="19" t="s">
        <v>42</v>
      </c>
      <c r="E21" s="20"/>
      <c r="F21" s="21">
        <v>8.0</v>
      </c>
      <c r="G21" s="22">
        <v>100.0</v>
      </c>
      <c r="H21" s="22">
        <f t="shared" si="1"/>
        <v>800</v>
      </c>
      <c r="I21" s="23"/>
      <c r="J21" s="3"/>
    </row>
    <row r="22" ht="22.5" customHeight="1">
      <c r="A22" s="18" t="s">
        <v>32</v>
      </c>
      <c r="B22" s="18" t="s">
        <v>22</v>
      </c>
      <c r="C22" s="19" t="s">
        <v>43</v>
      </c>
      <c r="D22" s="19" t="s">
        <v>44</v>
      </c>
      <c r="E22" s="19" t="s">
        <v>39</v>
      </c>
      <c r="F22" s="21">
        <v>8.0</v>
      </c>
      <c r="G22" s="22">
        <v>100.0</v>
      </c>
      <c r="H22" s="22">
        <f t="shared" si="1"/>
        <v>800</v>
      </c>
      <c r="I22" s="23" t="s">
        <v>45</v>
      </c>
      <c r="J22" s="3"/>
    </row>
    <row r="23" ht="22.5" customHeight="1">
      <c r="A23" s="18" t="s">
        <v>32</v>
      </c>
      <c r="B23" s="18" t="s">
        <v>40</v>
      </c>
      <c r="C23" s="19" t="s">
        <v>46</v>
      </c>
      <c r="D23" s="19" t="s">
        <v>47</v>
      </c>
      <c r="E23" s="19" t="s">
        <v>39</v>
      </c>
      <c r="F23" s="21">
        <v>4.0</v>
      </c>
      <c r="G23" s="22">
        <v>250.0</v>
      </c>
      <c r="H23" s="22">
        <f t="shared" si="1"/>
        <v>1000</v>
      </c>
      <c r="I23" s="23"/>
      <c r="J23" s="3"/>
    </row>
    <row r="24" ht="22.5" customHeight="1">
      <c r="A24" s="18" t="s">
        <v>32</v>
      </c>
      <c r="B24" s="18" t="s">
        <v>40</v>
      </c>
      <c r="C24" s="19" t="s">
        <v>41</v>
      </c>
      <c r="D24" s="19" t="s">
        <v>48</v>
      </c>
      <c r="E24" s="20"/>
      <c r="F24" s="21">
        <v>4.0</v>
      </c>
      <c r="G24" s="22">
        <v>100.0</v>
      </c>
      <c r="H24" s="22">
        <f t="shared" si="1"/>
        <v>400</v>
      </c>
      <c r="I24" s="23"/>
      <c r="J24" s="3"/>
    </row>
    <row r="25" ht="22.5" customHeight="1">
      <c r="A25" s="18" t="s">
        <v>32</v>
      </c>
      <c r="B25" s="18" t="s">
        <v>22</v>
      </c>
      <c r="C25" s="19" t="s">
        <v>43</v>
      </c>
      <c r="D25" s="19" t="s">
        <v>49</v>
      </c>
      <c r="E25" s="19" t="s">
        <v>39</v>
      </c>
      <c r="F25" s="21">
        <v>4.0</v>
      </c>
      <c r="G25" s="22">
        <v>100.0</v>
      </c>
      <c r="H25" s="22">
        <f t="shared" si="1"/>
        <v>400</v>
      </c>
      <c r="I25" s="23" t="s">
        <v>45</v>
      </c>
      <c r="J25" s="3"/>
    </row>
    <row r="26" ht="22.5" customHeight="1">
      <c r="A26" s="25" t="s">
        <v>50</v>
      </c>
      <c r="B26" s="25" t="s">
        <v>51</v>
      </c>
      <c r="C26" s="26" t="s">
        <v>52</v>
      </c>
      <c r="D26" s="26" t="s">
        <v>53</v>
      </c>
      <c r="E26" s="27"/>
      <c r="F26" s="28"/>
      <c r="G26" s="29"/>
      <c r="H26" s="29"/>
      <c r="I26" s="30"/>
      <c r="J26" s="3"/>
    </row>
    <row r="27" ht="22.5" customHeight="1">
      <c r="A27" s="25" t="s">
        <v>50</v>
      </c>
      <c r="B27" s="25" t="s">
        <v>51</v>
      </c>
      <c r="C27" s="26" t="s">
        <v>54</v>
      </c>
      <c r="D27" s="26"/>
      <c r="E27" s="27"/>
      <c r="F27" s="28"/>
      <c r="G27" s="29"/>
      <c r="H27" s="29"/>
      <c r="I27" s="30"/>
      <c r="J27" s="3"/>
    </row>
    <row r="28" ht="22.5" customHeight="1">
      <c r="A28" s="25" t="s">
        <v>50</v>
      </c>
      <c r="B28" s="25" t="s">
        <v>51</v>
      </c>
      <c r="C28" s="26" t="s">
        <v>55</v>
      </c>
      <c r="D28" s="26"/>
      <c r="E28" s="27"/>
      <c r="F28" s="28"/>
      <c r="G28" s="29"/>
      <c r="H28" s="29"/>
      <c r="I28" s="30"/>
      <c r="J28" s="3"/>
    </row>
    <row r="29" ht="22.5" customHeight="1">
      <c r="A29" s="25" t="s">
        <v>50</v>
      </c>
      <c r="B29" s="25" t="s">
        <v>51</v>
      </c>
      <c r="C29" s="26" t="s">
        <v>56</v>
      </c>
      <c r="D29" s="26"/>
      <c r="E29" s="27"/>
      <c r="F29" s="28"/>
      <c r="G29" s="29"/>
      <c r="H29" s="29"/>
      <c r="I29" s="30"/>
      <c r="J29" s="3"/>
    </row>
    <row r="30" ht="22.5" customHeight="1">
      <c r="A30" s="18" t="s">
        <v>57</v>
      </c>
      <c r="B30" s="18" t="s">
        <v>36</v>
      </c>
      <c r="C30" s="19" t="s">
        <v>56</v>
      </c>
      <c r="D30" s="19" t="s">
        <v>2</v>
      </c>
      <c r="E30" s="19" t="s">
        <v>39</v>
      </c>
      <c r="F30" s="21">
        <v>0.0</v>
      </c>
      <c r="G30" s="22">
        <v>250.0</v>
      </c>
      <c r="H30" s="22">
        <f>F30*G30</f>
        <v>0</v>
      </c>
      <c r="I30" s="23"/>
      <c r="J30" s="3"/>
    </row>
    <row r="31" ht="22.5" customHeight="1">
      <c r="A31" s="18" t="s">
        <v>58</v>
      </c>
      <c r="B31" s="18" t="s">
        <v>15</v>
      </c>
      <c r="C31" s="19" t="s">
        <v>59</v>
      </c>
      <c r="D31" s="19" t="s">
        <v>60</v>
      </c>
      <c r="E31" s="20"/>
      <c r="F31" s="21">
        <v>0.0</v>
      </c>
      <c r="G31" s="22">
        <v>100.0</v>
      </c>
      <c r="H31" s="22">
        <v>0.0</v>
      </c>
      <c r="I31" s="23"/>
      <c r="J31" s="3"/>
    </row>
    <row r="32" ht="22.5" customHeight="1">
      <c r="A32" s="18" t="s">
        <v>58</v>
      </c>
      <c r="B32" s="18" t="s">
        <v>29</v>
      </c>
      <c r="C32" s="19" t="s">
        <v>61</v>
      </c>
      <c r="D32" s="19" t="s">
        <v>62</v>
      </c>
      <c r="E32" s="20"/>
      <c r="F32" s="21">
        <v>0.0</v>
      </c>
      <c r="G32" s="22">
        <v>100.0</v>
      </c>
      <c r="H32" s="22">
        <v>0.0</v>
      </c>
      <c r="I32" s="23"/>
      <c r="J32" s="3"/>
    </row>
    <row r="33" ht="22.5" customHeight="1">
      <c r="A33" s="18" t="s">
        <v>58</v>
      </c>
      <c r="B33" s="18" t="s">
        <v>63</v>
      </c>
      <c r="C33" s="19" t="s">
        <v>64</v>
      </c>
      <c r="D33" s="19" t="s">
        <v>65</v>
      </c>
      <c r="E33" s="20"/>
      <c r="F33" s="21">
        <v>0.0</v>
      </c>
      <c r="G33" s="22">
        <v>100.0</v>
      </c>
      <c r="H33" s="22">
        <v>0.0</v>
      </c>
      <c r="I33" s="23"/>
      <c r="J33" s="3"/>
    </row>
    <row r="34" ht="22.5" customHeight="1">
      <c r="A34" s="18" t="s">
        <v>58</v>
      </c>
      <c r="B34" s="18" t="s">
        <v>66</v>
      </c>
      <c r="C34" s="19" t="s">
        <v>67</v>
      </c>
      <c r="D34" s="19"/>
      <c r="E34" s="20"/>
      <c r="F34" s="21">
        <v>0.0</v>
      </c>
      <c r="G34" s="22">
        <v>100.0</v>
      </c>
      <c r="H34" s="22">
        <v>0.0</v>
      </c>
      <c r="I34" s="23"/>
      <c r="J34" s="3"/>
    </row>
    <row r="35" ht="22.5" customHeight="1">
      <c r="A35" s="31"/>
      <c r="B35" s="31"/>
      <c r="C35" s="31"/>
      <c r="D35" s="31"/>
      <c r="E35" s="31"/>
      <c r="F35" s="32"/>
      <c r="G35" s="32"/>
      <c r="H35" s="33">
        <f>SUM(Photo_or_Video[Total])</f>
        <v>5400</v>
      </c>
      <c r="I35" s="34"/>
      <c r="J35" s="35"/>
    </row>
    <row r="36">
      <c r="A36" s="36"/>
      <c r="B36" s="36"/>
      <c r="C36" s="36"/>
      <c r="D36" s="36"/>
      <c r="E36" s="36"/>
      <c r="F36" s="36"/>
      <c r="G36" s="36"/>
      <c r="H36" s="36"/>
      <c r="I36" s="35"/>
      <c r="J36" s="35"/>
    </row>
    <row r="37">
      <c r="A37" s="36"/>
      <c r="B37" s="36"/>
      <c r="C37" s="36"/>
      <c r="D37" s="36"/>
      <c r="E37" s="36"/>
      <c r="F37" s="36"/>
      <c r="G37" s="36"/>
      <c r="H37" s="36"/>
      <c r="I37" s="35"/>
      <c r="J37" s="35"/>
    </row>
    <row r="38" ht="22.5" customHeight="1">
      <c r="A38" s="14" t="s">
        <v>5</v>
      </c>
      <c r="B38" s="15" t="s">
        <v>6</v>
      </c>
      <c r="C38" s="14" t="s">
        <v>7</v>
      </c>
      <c r="D38" s="14" t="s">
        <v>8</v>
      </c>
      <c r="E38" s="17" t="s">
        <v>12</v>
      </c>
      <c r="F38" s="14" t="s">
        <v>68</v>
      </c>
      <c r="G38" s="3"/>
      <c r="H38" s="3"/>
      <c r="I38" s="3"/>
      <c r="J38" s="3"/>
    </row>
    <row r="39" ht="22.5" customHeight="1">
      <c r="A39" s="37" t="s">
        <v>58</v>
      </c>
      <c r="B39" s="37" t="s">
        <v>69</v>
      </c>
      <c r="C39" s="23" t="s">
        <v>70</v>
      </c>
      <c r="D39" s="38" t="s">
        <v>71</v>
      </c>
      <c r="E39" s="39">
        <f>Photo_or_Video[[#TOTALS],[Total]]/2</f>
        <v>2700</v>
      </c>
      <c r="F39" s="23"/>
      <c r="G39" s="3"/>
      <c r="H39" s="3"/>
      <c r="I39" s="3"/>
      <c r="J39" s="3"/>
    </row>
    <row r="40">
      <c r="A40" s="36"/>
      <c r="B40" s="36"/>
      <c r="C40" s="36"/>
      <c r="D40" s="36"/>
      <c r="E40" s="36"/>
      <c r="F40" s="36"/>
      <c r="G40" s="36"/>
      <c r="H40" s="36"/>
      <c r="I40" s="35"/>
      <c r="J40" s="35"/>
    </row>
    <row r="41">
      <c r="A41" s="36"/>
      <c r="B41" s="36"/>
      <c r="C41" s="36"/>
      <c r="D41" s="36"/>
      <c r="E41" s="36"/>
      <c r="F41" s="36"/>
      <c r="G41" s="36"/>
      <c r="H41" s="36"/>
      <c r="I41" s="35"/>
      <c r="J41" s="35"/>
    </row>
    <row r="42">
      <c r="A42" s="36"/>
      <c r="B42" s="36"/>
      <c r="C42" s="36"/>
      <c r="D42" s="36"/>
      <c r="E42" s="36"/>
      <c r="F42" s="36"/>
      <c r="G42" s="36"/>
      <c r="H42" s="36"/>
      <c r="I42" s="35"/>
      <c r="J42" s="35"/>
    </row>
    <row r="43">
      <c r="A43" s="40" t="s">
        <v>72</v>
      </c>
      <c r="G43" s="36"/>
      <c r="H43" s="36"/>
      <c r="I43" s="36"/>
      <c r="J43" s="36"/>
    </row>
    <row r="44">
      <c r="A44" s="41"/>
      <c r="G44" s="36"/>
      <c r="H44" s="36"/>
      <c r="I44" s="36"/>
      <c r="J44" s="36"/>
    </row>
    <row r="45">
      <c r="A45" s="42"/>
      <c r="G45" s="36"/>
      <c r="H45" s="36"/>
      <c r="I45" s="36"/>
      <c r="J45" s="36"/>
    </row>
  </sheetData>
  <mergeCells count="7">
    <mergeCell ref="A1:H1"/>
    <mergeCell ref="A4:H4"/>
    <mergeCell ref="A7:H7"/>
    <mergeCell ref="A10:H10"/>
    <mergeCell ref="A43:F43"/>
    <mergeCell ref="A44:F44"/>
    <mergeCell ref="A45:F45"/>
  </mergeCells>
  <dataValidations>
    <dataValidation type="list" allowBlank="1" sqref="A14:A34 A39">
      <formula1>"Phase 1. Pre-Production,Phase 2. Production ,Phase 3. Vendor ,Phase. 4 Editing ,General "</formula1>
    </dataValidation>
    <dataValidation type="list" allowBlank="1" sqref="B14:B34 B39">
      <formula1>"Account Service ,Creative Direction ,Production Management ,Photography,Photography Assistant ,Vendor ,Marketing Coordinator,Formulating New Business,Raw Footage"</formula1>
    </dataValidation>
    <dataValidation type="list" allowBlank="1" sqref="E14:E34">
      <formula1>"Alli,Amanda,Amy,Deb,Devon,Emily,Erin,Kellie,Nick"</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49.5"/>
    <col customWidth="1" min="3" max="3" width="9.38"/>
  </cols>
  <sheetData>
    <row r="1">
      <c r="A1" s="43" t="s">
        <v>73</v>
      </c>
      <c r="B1" s="43" t="s">
        <v>74</v>
      </c>
      <c r="C1" s="44" t="s">
        <v>11</v>
      </c>
    </row>
    <row r="2">
      <c r="A2" s="45" t="s">
        <v>75</v>
      </c>
      <c r="B2" s="46" t="s">
        <v>76</v>
      </c>
      <c r="C2" s="47">
        <v>175.0</v>
      </c>
    </row>
    <row r="3">
      <c r="A3" s="45" t="s">
        <v>77</v>
      </c>
      <c r="B3" s="46" t="s">
        <v>78</v>
      </c>
      <c r="C3" s="47">
        <v>150.0</v>
      </c>
    </row>
    <row r="4">
      <c r="A4" s="45" t="s">
        <v>79</v>
      </c>
      <c r="B4" s="46" t="s">
        <v>80</v>
      </c>
      <c r="C4" s="47">
        <v>150.0</v>
      </c>
    </row>
    <row r="5">
      <c r="A5" s="45" t="s">
        <v>81</v>
      </c>
      <c r="B5" s="46" t="s">
        <v>82</v>
      </c>
      <c r="C5" s="47">
        <v>150.0</v>
      </c>
    </row>
    <row r="6">
      <c r="A6" s="45" t="s">
        <v>36</v>
      </c>
      <c r="B6" s="46" t="s">
        <v>83</v>
      </c>
      <c r="C6" s="47">
        <v>250.0</v>
      </c>
    </row>
    <row r="7">
      <c r="A7" s="45" t="s">
        <v>41</v>
      </c>
      <c r="B7" s="46" t="s">
        <v>84</v>
      </c>
      <c r="C7" s="47">
        <v>100.0</v>
      </c>
    </row>
    <row r="8">
      <c r="A8" s="45" t="s">
        <v>85</v>
      </c>
      <c r="B8" s="46" t="s">
        <v>86</v>
      </c>
      <c r="C8" s="47">
        <v>150.0</v>
      </c>
    </row>
    <row r="9">
      <c r="A9" s="45" t="s">
        <v>87</v>
      </c>
      <c r="B9" s="46" t="s">
        <v>88</v>
      </c>
      <c r="C9" s="47">
        <v>125.0</v>
      </c>
    </row>
    <row r="10">
      <c r="A10" s="45" t="s">
        <v>89</v>
      </c>
      <c r="B10" s="46" t="s">
        <v>90</v>
      </c>
      <c r="C10" s="47">
        <v>125.0</v>
      </c>
    </row>
    <row r="11">
      <c r="A11" s="45" t="s">
        <v>91</v>
      </c>
      <c r="B11" s="46" t="s">
        <v>92</v>
      </c>
      <c r="C11" s="47">
        <v>125.0</v>
      </c>
    </row>
    <row r="12">
      <c r="A12" s="45" t="s">
        <v>43</v>
      </c>
      <c r="B12" s="46" t="s">
        <v>93</v>
      </c>
      <c r="C12" s="47">
        <v>150.0</v>
      </c>
    </row>
    <row r="13">
      <c r="A13" s="45" t="s">
        <v>94</v>
      </c>
      <c r="B13" s="46" t="s">
        <v>60</v>
      </c>
      <c r="C13" s="47">
        <v>100.0</v>
      </c>
    </row>
    <row r="14">
      <c r="A14" s="48" t="s">
        <v>61</v>
      </c>
      <c r="B14" s="49" t="s">
        <v>95</v>
      </c>
      <c r="C14" s="47">
        <v>100.0</v>
      </c>
    </row>
    <row r="15">
      <c r="A15" s="48" t="s">
        <v>64</v>
      </c>
      <c r="B15" s="49" t="s">
        <v>65</v>
      </c>
      <c r="C15" s="47">
        <v>100.0</v>
      </c>
    </row>
    <row r="16">
      <c r="A16" s="45" t="s">
        <v>96</v>
      </c>
      <c r="B16" s="46" t="s">
        <v>97</v>
      </c>
      <c r="C16" s="47">
        <v>150.0</v>
      </c>
    </row>
    <row r="17">
      <c r="A17" s="45" t="s">
        <v>66</v>
      </c>
      <c r="B17" s="46" t="s">
        <v>98</v>
      </c>
      <c r="C17" s="47">
        <v>100.0</v>
      </c>
    </row>
    <row r="18">
      <c r="A18" s="50"/>
      <c r="B18" s="50"/>
      <c r="C18" s="51"/>
    </row>
    <row r="19">
      <c r="A19" s="52" t="s">
        <v>99</v>
      </c>
    </row>
    <row r="20">
      <c r="A20" s="53" t="s">
        <v>100</v>
      </c>
    </row>
    <row r="21">
      <c r="A21" s="54"/>
      <c r="B21" s="54"/>
      <c r="C21" s="55"/>
    </row>
  </sheetData>
  <mergeCells count="2">
    <mergeCell ref="A19:C19"/>
    <mergeCell ref="A20:C20"/>
  </mergeCells>
  <hyperlinks>
    <hyperlink r:id="rId1" ref="A20"/>
  </hyperlinks>
  <drawing r:id="rId2"/>
</worksheet>
</file>