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udit" sheetId="1" r:id="rId5"/>
    <sheet state="visible" name="Onboarding  Setup" sheetId="2" r:id="rId6"/>
    <sheet state="visible" name="Ongoing Social" sheetId="3" r:id="rId7"/>
    <sheet state="hidden" name="Monthly Organic" sheetId="4" r:id="rId8"/>
    <sheet state="visible" name="Standard Creative Estimates" sheetId="5" r:id="rId9"/>
  </sheets>
  <definedNames>
    <definedName hidden="1" localSheetId="0" name="Z_17EB35C3_CBC4_4E00_9431_2E08CD4715FB_.wvu.FilterData">Audit!$A$13:$I$20</definedName>
    <definedName hidden="1" localSheetId="1" name="Z_17EB35C3_CBC4_4E00_9431_2E08CD4715FB_.wvu.FilterData">'Onboarding  Setup'!$A$13:$I$37</definedName>
    <definedName hidden="1" localSheetId="2" name="Z_17EB35C3_CBC4_4E00_9431_2E08CD4715FB_.wvu.FilterData">'Ongoing Social'!$A$13:$I$33</definedName>
  </definedNames>
  <calcPr/>
  <customWorkbookViews>
    <customWorkbookView activeSheetId="0" maximized="1" windowHeight="0" windowWidth="0" guid="{17EB35C3-CBC4-4E00-9431-2E08CD4715FB}" name="Group by Phase"/>
  </customWorkbookViews>
</workbook>
</file>

<file path=xl/sharedStrings.xml><?xml version="1.0" encoding="utf-8"?>
<sst xmlns="http://schemas.openxmlformats.org/spreadsheetml/2006/main" count="377" uniqueCount="155">
  <si>
    <t>Internal Estimate</t>
  </si>
  <si>
    <t>Client:</t>
  </si>
  <si>
    <t>Company</t>
  </si>
  <si>
    <t>Project:</t>
  </si>
  <si>
    <t>Social Media Audit</t>
  </si>
  <si>
    <t>Date Estimated:</t>
  </si>
  <si>
    <t>Phase</t>
  </si>
  <si>
    <t xml:space="preserve">Service </t>
  </si>
  <si>
    <t>Task</t>
  </si>
  <si>
    <t>Description</t>
  </si>
  <si>
    <t>Team</t>
  </si>
  <si>
    <t>Hours</t>
  </si>
  <si>
    <t>Rate</t>
  </si>
  <si>
    <t>Total</t>
  </si>
  <si>
    <t>Notes / Explanations</t>
  </si>
  <si>
    <t xml:space="preserve">1. Audit </t>
  </si>
  <si>
    <t>Social Media Management</t>
  </si>
  <si>
    <t>Conduct an in-depth social media audit that assesses the effectiveness of your current social media efforts, and those of your main competitors, with the goal of gaining a thorough understanding of both your business and your respective industry as a whole. We will then present our findings to the client for review.</t>
  </si>
  <si>
    <t>Meg</t>
  </si>
  <si>
    <t>Social Audit Presentation</t>
  </si>
  <si>
    <t>Present the Social Media Audit to the client, highlighting key elements and providing guidance on its implementation.</t>
  </si>
  <si>
    <t>Account Management</t>
  </si>
  <si>
    <t xml:space="preserve">This should be a call that includes Meg, the account manager, Cassidy, sometimes Nick. This should be an hour call. </t>
  </si>
  <si>
    <t>Production Managment</t>
  </si>
  <si>
    <t xml:space="preserve">Production Management </t>
  </si>
  <si>
    <t>Time dedicated to planning, scheduling, and overseeing the execution of work to ensure the project stays on track, on time, and within scope.</t>
  </si>
  <si>
    <t>Cassidy</t>
  </si>
  <si>
    <t xml:space="preserve">Account Management </t>
  </si>
  <si>
    <t>Your Account Manager will coordinate this project with you from start to finish. Their time will include emails, phone calls, and meetings to discuss project details and progress.</t>
  </si>
  <si>
    <t>Formulating New Business</t>
  </si>
  <si>
    <t>Total Cost:</t>
  </si>
  <si>
    <t>Social Media</t>
  </si>
  <si>
    <t>2. Onboarding</t>
  </si>
  <si>
    <t xml:space="preserve"> Social Kick-Off Call </t>
  </si>
  <si>
    <t>Client/internal kick off call to align on social scope and ongoing monthly content</t>
  </si>
  <si>
    <t>Client/internal kick off call - limit to a specific timeframe. Include Meg, Account Manager and Production.</t>
  </si>
  <si>
    <t>Organic Social Setup</t>
  </si>
  <si>
    <t>Gaining access to client's social platforms, review of any client assets / information, completion of internal documentation, &amp; creation of HeyOrca profile for post scheduling.</t>
  </si>
  <si>
    <t>Flat rate for social setup</t>
  </si>
  <si>
    <t>Paid Social Setup</t>
  </si>
  <si>
    <t>Setup of social media paid advertising.</t>
  </si>
  <si>
    <t>NextDoor Social Setup</t>
  </si>
  <si>
    <t>Setup of NextDoor profile</t>
  </si>
  <si>
    <t>Creative Design</t>
  </si>
  <si>
    <t xml:space="preserve">Canva Brand Kit Setup </t>
  </si>
  <si>
    <t>Creation of Canva Brand Kit including any fonts, colors, logos, photos, graphics.</t>
  </si>
  <si>
    <t>Erin, Deb</t>
  </si>
  <si>
    <t>Light Box Setup</t>
  </si>
  <si>
    <t>Creation of Light Box to provide to client of approved imagery we can use.</t>
  </si>
  <si>
    <t>20-30 images</t>
  </si>
  <si>
    <t>Social Graphic Template Design</t>
  </si>
  <si>
    <t>Initial graphic template set up for creative team</t>
  </si>
  <si>
    <t>Nick</t>
  </si>
  <si>
    <t>Initial template design by Nick</t>
  </si>
  <si>
    <t>Creative Direction</t>
  </si>
  <si>
    <t>Client/internal kick off call - limit to a specific timeframe</t>
  </si>
  <si>
    <t>Assist the clients with getting us access to their social accounts for setup.</t>
  </si>
  <si>
    <t>Marketing Coordinator</t>
  </si>
  <si>
    <t xml:space="preserve">Marketing Coordinator </t>
  </si>
  <si>
    <t>Execution and support of marketing initiatives, including campaign setup, content scheduling, asset organization, and cross-team coordination to ensure timely and accurate delivery.</t>
  </si>
  <si>
    <t>Emily</t>
  </si>
  <si>
    <t>Assist the internal team with getting us access to their social accounts for setup, HeyOrca Access, Social Media Overview Documentation.</t>
  </si>
  <si>
    <t>3. Social Profile Setup</t>
  </si>
  <si>
    <t>Instagram Page Setup</t>
  </si>
  <si>
    <r>
      <rPr>
        <rFont val="DM Sans"/>
        <b/>
        <color theme="1"/>
        <sz val="9.0"/>
        <u/>
      </rPr>
      <t>Creation of new Instagram Page</t>
    </r>
    <r>
      <rPr>
        <rFont val="DM Sans"/>
        <color theme="1"/>
        <sz val="9.0"/>
      </rPr>
      <t xml:space="preserve">
</t>
    </r>
    <r>
      <rPr>
        <rFont val="DM Sans"/>
        <b/>
        <color theme="1"/>
        <sz val="9.0"/>
      </rPr>
      <t xml:space="preserve">Content to be included:
</t>
    </r>
    <r>
      <rPr>
        <rFont val="DM Sans"/>
        <color theme="1"/>
        <sz val="9.0"/>
        <u/>
      </rPr>
      <t>Bio copy (150 characters or less)</t>
    </r>
    <r>
      <rPr>
        <rFont val="DM Sans"/>
        <color theme="1"/>
        <sz val="9.0"/>
      </rPr>
      <t xml:space="preserve">
- What you offer
- Who you serve
- What makes you different
- Call to action
</t>
    </r>
    <r>
      <rPr>
        <rFont val="DM Sans"/>
        <color theme="1"/>
        <sz val="9.0"/>
        <u/>
      </rPr>
      <t>Links</t>
    </r>
    <r>
      <rPr>
        <rFont val="DM Sans"/>
        <color theme="1"/>
        <sz val="9.0"/>
      </rPr>
      <t xml:space="preserve">
- Website or link-in-bio URL
- Any secondary links if using a link hub
</t>
    </r>
    <r>
      <rPr>
        <rFont val="DM Sans"/>
        <color theme="1"/>
        <sz val="9.0"/>
        <u/>
      </rPr>
      <t>Contact Info</t>
    </r>
    <r>
      <rPr>
        <rFont val="DM Sans"/>
        <color theme="1"/>
        <sz val="9.0"/>
      </rPr>
      <t xml:space="preserve">
- Business email
- Phone number (optional)
- Address (optional for local businesses)
</t>
    </r>
    <r>
      <rPr>
        <rFont val="DM Sans"/>
        <color theme="1"/>
        <sz val="9.0"/>
        <u/>
      </rPr>
      <t>Branding Details</t>
    </r>
    <r>
      <rPr>
        <rFont val="DM Sans"/>
        <color theme="1"/>
        <sz val="9.0"/>
      </rPr>
      <t xml:space="preserve">
- Category selection
- Display name (can include keyword after brand name)
- Username consistency with other platforms</t>
    </r>
  </si>
  <si>
    <t>Coordinate needed information with client for set up. New Social Profile Instructions</t>
  </si>
  <si>
    <t>Instagram Profile Photo</t>
  </si>
  <si>
    <t>Design of square logo or brand image</t>
  </si>
  <si>
    <t>Deb, Erin</t>
  </si>
  <si>
    <t>Highlight Cover Graphics</t>
  </si>
  <si>
    <t xml:space="preserve">Suggested highlight titles:
Services
Reviews
Work / Projects
About
Contact
</t>
  </si>
  <si>
    <t>Optional but recommended</t>
  </si>
  <si>
    <t>Facebook Page Setup</t>
  </si>
  <si>
    <r>
      <rPr>
        <rFont val="DM Sans"/>
        <b/>
        <color theme="1"/>
        <sz val="9.0"/>
        <u/>
      </rPr>
      <t>Creation of new Facebook Page</t>
    </r>
    <r>
      <rPr>
        <rFont val="DM Sans"/>
        <color theme="1"/>
        <sz val="9.0"/>
      </rPr>
      <t xml:space="preserve">
</t>
    </r>
    <r>
      <rPr>
        <rFont val="DM Sans"/>
        <b/>
        <color theme="1"/>
        <sz val="9.0"/>
      </rPr>
      <t>Content to be included:</t>
    </r>
    <r>
      <rPr>
        <rFont val="DM Sans"/>
        <color theme="1"/>
        <sz val="9.0"/>
      </rPr>
      <t xml:space="preserve">
- Business description (short version)
- About section copy (long version)
- Services list
- Mission or positioning statement
</t>
    </r>
    <r>
      <rPr>
        <rFont val="DM Sans"/>
        <b/>
        <color theme="1"/>
        <sz val="9.0"/>
      </rPr>
      <t xml:space="preserve">Links &amp; Contact
</t>
    </r>
    <r>
      <rPr>
        <rFont val="DM Sans"/>
        <color theme="1"/>
        <sz val="9.0"/>
      </rPr>
      <t xml:space="preserve">- Website link
- Business phone number
- Business email
- Street address (if applicable)
- Business hours
</t>
    </r>
    <r>
      <rPr>
        <rFont val="DM Sans"/>
        <b/>
        <color theme="1"/>
        <sz val="9.0"/>
      </rPr>
      <t xml:space="preserve">Branding Setup
</t>
    </r>
    <r>
      <rPr>
        <rFont val="DM Sans"/>
        <color theme="1"/>
        <sz val="9.0"/>
      </rPr>
      <t xml:space="preserve">- Business category
- Page username
- Call-to-action button selection
Examples: Call Now, Book Now, Contact Us, Shop Now
</t>
    </r>
    <r>
      <rPr>
        <rFont val="DM Sans"/>
        <b/>
        <color theme="1"/>
        <sz val="9.0"/>
      </rPr>
      <t>Admin Access</t>
    </r>
    <r>
      <rPr>
        <rFont val="DM Sans"/>
        <color theme="1"/>
        <sz val="9.0"/>
      </rPr>
      <t xml:space="preserve">
- Page roles assigned to team members
- Recovery email set</t>
    </r>
  </si>
  <si>
    <t>Facebook Page Content Setup</t>
  </si>
  <si>
    <r>
      <rPr>
        <rFont val="DM Sans"/>
        <b/>
        <color theme="1"/>
        <sz val="9.0"/>
      </rPr>
      <t>Content at Launch</t>
    </r>
    <r>
      <rPr>
        <rFont val="DM Sans"/>
        <color theme="1"/>
        <sz val="9.0"/>
      </rPr>
      <t xml:space="preserve">
- Welcome post
- Service introduction post
- Proof post (testimonial or case study)
- Promotional or announcement post
</t>
    </r>
    <r>
      <rPr>
        <rFont val="DM Sans"/>
        <b/>
        <color theme="1"/>
        <sz val="9.0"/>
      </rPr>
      <t xml:space="preserve">*To be included in first month of content calendar
</t>
    </r>
    <r>
      <rPr>
        <rFont val="DM Sans"/>
        <color theme="1"/>
        <sz val="9.0"/>
      </rPr>
      <t xml:space="preserve">
</t>
    </r>
    <r>
      <rPr>
        <rFont val="DM Sans"/>
        <b/>
        <color theme="1"/>
        <sz val="9.0"/>
      </rPr>
      <t>Messaging Setup</t>
    </r>
    <r>
      <rPr>
        <rFont val="DM Sans"/>
        <color theme="1"/>
        <sz val="9.0"/>
      </rPr>
      <t xml:space="preserve">
- Auto-reply message
- Frequently asked questions or quick replies</t>
    </r>
  </si>
  <si>
    <t>Facebook Profile Photo</t>
  </si>
  <si>
    <t xml:space="preserve">Facebook Cover Photo </t>
  </si>
  <si>
    <t>Design of cover photo or banner image</t>
  </si>
  <si>
    <t>Facebook Pinned Post Graphic</t>
  </si>
  <si>
    <t>Optional pinned post graphic</t>
  </si>
  <si>
    <t>LinkedIn Page Content Setup</t>
  </si>
  <si>
    <r>
      <rPr>
        <rFont val="DM Sans"/>
        <b/>
        <color theme="1"/>
        <sz val="9.0"/>
        <u/>
      </rPr>
      <t xml:space="preserve">Creation of new LinkedIn Page
</t>
    </r>
    <r>
      <rPr>
        <rFont val="DM Sans"/>
        <b/>
        <color theme="1"/>
        <sz val="9.0"/>
      </rPr>
      <t xml:space="preserve">Company Basics </t>
    </r>
    <r>
      <rPr>
        <rFont val="DM Sans"/>
        <color theme="1"/>
        <sz val="9.0"/>
      </rPr>
      <t xml:space="preserve">
- Official company name (exactly as you want it displayed): 
- Public LinkedIn URL (e.g., linkedin.com/company/yourcompanyname):
- Website URL (optional but highly recommended):
- Industry: 
- Company size (range):
- Company type (e.g., privately held, nonprofit, partnership, etc.):
</t>
    </r>
    <r>
      <rPr>
        <rFont val="DM Sans"/>
        <b/>
        <color theme="1"/>
        <sz val="9.0"/>
      </rPr>
      <t xml:space="preserve">Company Description
</t>
    </r>
    <r>
      <rPr>
        <rFont val="DM Sans"/>
        <color theme="1"/>
        <sz val="9.0"/>
      </rPr>
      <t xml:space="preserve">- About section (2,000 characters max): Write a concise, engaging summary describing what your company does, your mission, and what makes you different. Tip: Include a few strategic keywords for search visibility. 
</t>
    </r>
    <r>
      <rPr>
        <rFont val="DM Sans"/>
        <b/>
        <color theme="1"/>
        <sz val="9.0"/>
      </rPr>
      <t>Specialties:</t>
    </r>
    <r>
      <rPr>
        <rFont val="DM Sans"/>
        <color theme="1"/>
        <sz val="9.0"/>
      </rPr>
      <t xml:space="preserve"> Add 5–20 relevant keywords (services, expertise, etc.) 
</t>
    </r>
    <r>
      <rPr>
        <rFont val="DM Sans"/>
        <b/>
        <color theme="1"/>
        <sz val="9.0"/>
      </rPr>
      <t xml:space="preserve">Location: </t>
    </r>
    <r>
      <rPr>
        <rFont val="DM Sans"/>
        <color theme="1"/>
        <sz val="9.0"/>
      </rPr>
      <t xml:space="preserve">Physical address or headquarters location (can hide street if you prefer) 
</t>
    </r>
    <r>
      <rPr>
        <rFont val="DM Sans"/>
        <b/>
        <color theme="1"/>
        <sz val="9.0"/>
      </rPr>
      <t>Optional but Recommended:</t>
    </r>
    <r>
      <rPr>
        <rFont val="DM Sans"/>
        <color theme="1"/>
        <sz val="9.0"/>
      </rPr>
      <t xml:space="preserve">
- Tagline: A short line under your logo (e.g., “Crafting Digital Experiences That Convert”) 
- Hashtags: You can select up to 3 “community hashtags” to align your brand with related topics.
- Custom button: Choose a CTA (Visit website, Contact us, Learn more, etc.)
</t>
    </r>
  </si>
  <si>
    <t>LinkedIn Profile Photo</t>
  </si>
  <si>
    <r>
      <rPr>
        <rFont val="DM Sans"/>
        <b/>
        <color theme="1"/>
        <sz val="9.0"/>
      </rPr>
      <t xml:space="preserve">Logo
</t>
    </r>
    <r>
      <rPr>
        <rFont val="DM Sans"/>
        <color theme="1"/>
        <sz val="9.0"/>
      </rPr>
      <t xml:space="preserve">- Size: 300 × 300 px 
- Format: PNG or JPG 
- This will appear as your profile image across LinkedIn. </t>
    </r>
  </si>
  <si>
    <t xml:space="preserve">LinkedIn Cover Photo </t>
  </si>
  <si>
    <t xml:space="preserve">- Recommended size: 1128 × 191 px 
- Use something that represents your brand—your workspace, team, or a clean branded graphic. </t>
  </si>
  <si>
    <t>4. Ongoing Monthly</t>
  </si>
  <si>
    <t>Organic Social Media Management</t>
  </si>
  <si>
    <t># Channels (FB/IG/LI/Etc.)
# Posts per Month
Strategy and planning
Write and schedule content
Engagement
Monthly OR Quarterly Reporting - Meg to confirm</t>
  </si>
  <si>
    <t>Paid Social Media Management</t>
  </si>
  <si>
    <t># of Ad Campaigns or Boosted Posts per month 
Platforms TBD
Campaign Type TBD 
*Meg to confirm if additional creative is needed from team for paid portion.</t>
  </si>
  <si>
    <t>NextDoor Social Media Management</t>
  </si>
  <si>
    <t>Nextdoor advertising connects you with engaged local audiences, perfect for raising awareness, promoting events, and reaching the 55+ community. We handle strategy, monthly execution, and performance reporting to maximize your impact.</t>
  </si>
  <si>
    <t>Additional Optional Channels 
eg. LinkedIn, Pinterest, Instagram, 
Facebook, TikTok</t>
  </si>
  <si>
    <t>Meg to list out additional channels recommended and scope of work</t>
  </si>
  <si>
    <t>Custom Social Graphic Design</t>
  </si>
  <si>
    <t>Design of custom social posts
Social Media Platforms: TBD
# of Posts per month: TBD</t>
  </si>
  <si>
    <t>Confirm if Nick wants to 
design the graphics for month 1, etc. before Deb/Erin takes over
Then monthly creative direction time will begin.</t>
  </si>
  <si>
    <t>Paid Social Ad Design</t>
  </si>
  <si>
    <r>
      <rPr>
        <rFont val="DM Sans"/>
        <color rgb="FF434343"/>
        <sz val="9.0"/>
      </rPr>
      <t xml:space="preserve">Design of social media ad - # TBD
</t>
    </r>
    <r>
      <rPr>
        <rFont val="DM Sans"/>
        <b/>
        <color rgb="FF434343"/>
        <sz val="9.0"/>
      </rPr>
      <t>*Meg to confirm if needed</t>
    </r>
  </si>
  <si>
    <t>NextDoor Ad Design</t>
  </si>
  <si>
    <t xml:space="preserve">Design of 1 NextDoor ad </t>
  </si>
  <si>
    <t>Community Engagement</t>
  </si>
  <si>
    <t>Research of 10-15 target groups, create a custom posting strategy, and manage posting, monitoring, and engagement to promote your business. 
You’ll receive a detailed Community Engagement Tracking sheet with group insights, rules, a posting plan, content calendar, and performance metrics. Month 1 focuses on research and strategy, with execution starting in Month 2.</t>
  </si>
  <si>
    <t>Ad Hoc Calls/Emails</t>
  </si>
  <si>
    <t>Handling day-to-day client questions, requests, and updates.</t>
  </si>
  <si>
    <t>Content Coordination</t>
  </si>
  <si>
    <t>Gathering Client Assets - Collect photos, videos, promotions, event details, etc.
Briefing Creative Team - Provide clear direction, deadlines, and requirements for content creation.
Managing Approvals - Send content calendars/posts to client for review, track changes, and secure approval.</t>
  </si>
  <si>
    <t>Monthly Content Planning Call - Internal</t>
  </si>
  <si>
    <t>1 call per month to review strategy, priorities, and campaigns.</t>
  </si>
  <si>
    <t>1 hour</t>
  </si>
  <si>
    <t>Monthly Planning Call - Client</t>
  </si>
  <si>
    <t>1 call per month to review strategy, priorities, campaigns. results, insights, and next month’s plan.</t>
  </si>
  <si>
    <t>Updating Project Management Tools - Asana tasks for monthly content cycle, ensuring deadlines are hit.
Internal Team Check-ins - Align with copywriters, designers, and strategists on creative direction.
Monitoring Progress - Make sure posts are drafted, designed, approved, and scheduled on time.</t>
  </si>
  <si>
    <t>Time allocated to establish the overall vision for the project, including brainstorming, concept development, and defining the aesthetic, messaging, and tone.
TBD - Nick to confirm depending on how extensive
his scope will be</t>
  </si>
  <si>
    <t>5. Monthly Expenses</t>
  </si>
  <si>
    <t>Software</t>
  </si>
  <si>
    <t>Getty Images Monthly Cost</t>
  </si>
  <si>
    <t xml:space="preserve">Stock Photo Useage </t>
  </si>
  <si>
    <t>Getty</t>
  </si>
  <si>
    <t>-</t>
  </si>
  <si>
    <t>Included in monthly cost as we will be using stock imagery.</t>
  </si>
  <si>
    <t>HeyOrca Monthly Cost</t>
  </si>
  <si>
    <t xml:space="preserve">Social Media post scheduling tool </t>
  </si>
  <si>
    <t>HeyOrca</t>
  </si>
  <si>
    <t>Included in monthly cost
as calendar is required.</t>
  </si>
  <si>
    <t>Paid Social Advertising Cost</t>
  </si>
  <si>
    <t>Monthly ad budget of TBD platform(s)</t>
  </si>
  <si>
    <t>Meta</t>
  </si>
  <si>
    <t>Markup 35%</t>
  </si>
  <si>
    <t>NextDoor Advertising Cost</t>
  </si>
  <si>
    <t>Monthly NextDoor Ad Budget</t>
  </si>
  <si>
    <t>NextDoor</t>
  </si>
  <si>
    <t>6. Project Padding</t>
  </si>
  <si>
    <t>Time dedicated to researching, strategizing, and preparing materials to pursue new business opportunities. This includes discovery, proposal development, estimating, internal planning, and presentation efforts aimed at securing new client partnerships or expanding existing relationships.</t>
  </si>
  <si>
    <t>TBD</t>
  </si>
  <si>
    <t>Service</t>
  </si>
  <si>
    <t>Creation of Canva Brand Kit - including any fonts, colors, logos, photos, graphics.</t>
  </si>
  <si>
    <t>Lightbox Setup</t>
  </si>
  <si>
    <t>Creation of a lightbox to provide to client of approved imagery we can use</t>
  </si>
  <si>
    <t>Production Management</t>
  </si>
  <si>
    <t>Project Total</t>
  </si>
  <si>
    <t>Expense</t>
  </si>
  <si>
    <t>Monthly Calendar Subscription</t>
  </si>
  <si>
    <t>Monthly Graphic Creation</t>
  </si>
  <si>
    <t>Time allocated to establish the overall vision for the project, including brainstorming, concept development, and defining the aesthetic, messaging, and tone.</t>
  </si>
  <si>
    <t>Notes:</t>
  </si>
  <si>
    <t>Item</t>
  </si>
  <si>
    <t xml:space="preserve">Social </t>
  </si>
  <si>
    <t>Static Social Graphic</t>
  </si>
  <si>
    <t>Animated Social Graphic</t>
  </si>
  <si>
    <t xml:space="preserve">Social Carousel </t>
  </si>
  <si>
    <t>Max up to 4 slides</t>
  </si>
  <si>
    <t>Estimates are based on average, time can fluctuate based on nature of content.</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</si>
</sst>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quot;$&quot;#,##0.00"/>
    <numFmt numFmtId="165" formatCode="m/d/yy"/>
    <numFmt numFmtId="166" formatCode="M/d/yyyy"/>
  </numFmts>
  <fonts count="18">
    <font>
      <sz val="10.0"/>
      <color rgb="FF000000"/>
      <name val="Arial"/>
      <scheme val="minor"/>
    </font>
    <font>
      <b/>
      <sz val="36.0"/>
      <color theme="1"/>
      <name val="DM Sans"/>
    </font>
    <font>
      <color theme="1"/>
      <name val="Arial"/>
    </font>
    <font>
      <b/>
      <sz val="11.0"/>
      <color theme="1"/>
      <name val="DM Sans"/>
    </font>
    <font>
      <sz val="11.0"/>
      <color theme="1"/>
      <name val="DM Sans"/>
    </font>
    <font>
      <sz val="9.0"/>
      <color theme="1"/>
      <name val="DM Sans"/>
    </font>
    <font>
      <sz val="9.0"/>
      <color rgb="FF434343"/>
      <name val="DM Sans"/>
    </font>
    <font>
      <b/>
      <sz val="10.0"/>
      <color theme="1"/>
      <name val="DM Sans"/>
    </font>
    <font>
      <sz val="10.0"/>
      <color theme="1"/>
      <name val="DM Sans"/>
    </font>
    <font>
      <u/>
      <sz val="9.0"/>
      <color theme="1"/>
      <name val="DM Sans"/>
    </font>
    <font>
      <sz val="9.0"/>
      <color rgb="FF215A6C"/>
      <name val="DM Sans"/>
    </font>
    <font>
      <sz val="9.0"/>
      <color rgb="FF473821"/>
      <name val="DM Sans"/>
    </font>
    <font>
      <color theme="1"/>
      <name val="Arial"/>
      <scheme val="minor"/>
    </font>
    <font>
      <color theme="1"/>
      <name val="DM Sans"/>
    </font>
    <font>
      <b/>
      <sz val="9.0"/>
      <color rgb="FF000000"/>
      <name val="DM Sans"/>
    </font>
    <font>
      <sz val="9.0"/>
      <color rgb="FF000000"/>
      <name val="DM Sans"/>
    </font>
    <font>
      <b/>
      <sz val="9.0"/>
      <color theme="1"/>
      <name val="DM Sans"/>
    </font>
    <font>
      <b/>
      <sz val="11.0"/>
      <color rgb="FF000000"/>
      <name val="DM Sans"/>
    </font>
  </fonts>
  <fills count="6">
    <fill>
      <patternFill patternType="none"/>
    </fill>
    <fill>
      <patternFill patternType="lightGray"/>
    </fill>
    <fill>
      <patternFill patternType="solid">
        <fgColor rgb="FFF6F8F9"/>
        <bgColor rgb="FFF6F8F9"/>
      </patternFill>
    </fill>
    <fill>
      <patternFill patternType="solid">
        <fgColor rgb="FFFFFFFF"/>
        <bgColor rgb="FFFFFFFF"/>
      </patternFill>
    </fill>
    <fill>
      <patternFill patternType="solid">
        <fgColor rgb="FF00E2FF"/>
        <bgColor rgb="FF00E2FF"/>
      </patternFill>
    </fill>
    <fill>
      <patternFill patternType="solid">
        <fgColor rgb="FFF1F1F5"/>
        <bgColor rgb="FFF1F1F5"/>
      </patternFill>
    </fill>
  </fills>
  <borders count="7">
    <border/>
    <border>
      <left style="thin">
        <color rgb="FF00AAB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00AABF"/>
      </right>
      <top style="thin">
        <color rgb="FFF6F8F9"/>
      </top>
      <bottom style="thin">
        <color rgb="FFF6F8F9"/>
      </bottom>
    </border>
    <border>
      <left style="thin">
        <color rgb="FF00AAB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00AABF"/>
      </right>
      <top style="thin">
        <color rgb="FFFFFFFF"/>
      </top>
      <bottom style="thin">
        <color rgb="FFFFFFFF"/>
      </bottom>
    </border>
  </borders>
  <cellStyleXfs count="1">
    <xf borderId="0" fillId="0" fontId="0" numFmtId="0" applyAlignment="1" applyFont="1"/>
  </cellStyleXfs>
  <cellXfs count="131">
    <xf borderId="0" fillId="0" fontId="0" numFmtId="0" xfId="0" applyAlignment="1" applyFont="1">
      <alignment readingOrder="0" shrinkToFit="0" vertical="bottom" wrapText="0"/>
    </xf>
    <xf borderId="0" fillId="0" fontId="1" numFmtId="49" xfId="0" applyAlignment="1" applyFont="1" applyNumberFormat="1">
      <alignment shrinkToFit="0" vertical="bottom" wrapText="1"/>
    </xf>
    <xf borderId="0" fillId="0" fontId="2" numFmtId="164" xfId="0" applyAlignment="1" applyFont="1" applyNumberFormat="1">
      <alignment vertical="bottom"/>
    </xf>
    <xf borderId="0" fillId="0" fontId="2" numFmtId="49" xfId="0" applyAlignment="1" applyFont="1" applyNumberFormat="1">
      <alignment vertical="bottom"/>
    </xf>
    <xf borderId="0" fillId="0" fontId="2" numFmtId="49" xfId="0" applyAlignment="1" applyFont="1" applyNumberFormat="1">
      <alignment shrinkToFit="0" vertical="center" wrapText="1"/>
    </xf>
    <xf borderId="0" fillId="0" fontId="2" numFmtId="0" xfId="0" applyAlignment="1" applyFont="1">
      <alignment vertical="bottom"/>
    </xf>
    <xf borderId="0" fillId="0" fontId="3" numFmtId="49" xfId="0" applyAlignment="1" applyFont="1" applyNumberFormat="1">
      <alignment shrinkToFit="0" vertical="bottom" wrapText="1"/>
    </xf>
    <xf borderId="0" fillId="0" fontId="4" numFmtId="49" xfId="0" applyAlignment="1" applyFont="1" applyNumberFormat="1">
      <alignment readingOrder="0" shrinkToFit="0" vertical="bottom" wrapText="1"/>
    </xf>
    <xf borderId="0" fillId="0" fontId="4" numFmtId="165" xfId="0" applyAlignment="1" applyFont="1" applyNumberFormat="1">
      <alignment horizontal="left" readingOrder="0" shrinkToFit="0" vertical="bottom" wrapText="1"/>
    </xf>
    <xf borderId="0" fillId="0" fontId="5" numFmtId="49" xfId="0" applyFont="1" applyNumberFormat="1"/>
    <xf borderId="0" fillId="0" fontId="5" numFmtId="49" xfId="0" applyAlignment="1" applyFont="1" applyNumberFormat="1">
      <alignment shrinkToFit="0" vertical="center" wrapText="1"/>
    </xf>
    <xf borderId="0" fillId="0" fontId="5" numFmtId="0" xfId="0" applyAlignment="1" applyFont="1">
      <alignment shrinkToFit="0" wrapText="1"/>
    </xf>
    <xf borderId="0" fillId="0" fontId="5" numFmtId="0" xfId="0" applyAlignment="1" applyFont="1">
      <alignment horizontal="left"/>
    </xf>
    <xf borderId="0" fillId="0" fontId="5" numFmtId="0" xfId="0" applyAlignment="1" applyFont="1">
      <alignment horizontal="center"/>
    </xf>
    <xf borderId="0" fillId="0" fontId="5" numFmtId="164" xfId="0" applyAlignment="1" applyFont="1" applyNumberFormat="1">
      <alignment horizontal="center"/>
    </xf>
    <xf borderId="0" fillId="0" fontId="5" numFmtId="49" xfId="0" applyAlignment="1" applyFont="1" applyNumberFormat="1">
      <alignment horizontal="left" readingOrder="0" shrinkToFit="0" vertical="center" wrapText="0"/>
    </xf>
    <xf borderId="0" fillId="0" fontId="5" numFmtId="49" xfId="0" applyAlignment="1" applyFont="1" applyNumberFormat="1">
      <alignment horizontal="left" readingOrder="0" shrinkToFit="0" vertical="center" wrapText="1"/>
    </xf>
    <xf borderId="0" fillId="0" fontId="5" numFmtId="0" xfId="0" applyAlignment="1" applyFont="1">
      <alignment horizontal="left" readingOrder="0" shrinkToFit="0" vertical="center" wrapText="1"/>
    </xf>
    <xf borderId="0" fillId="0" fontId="5" numFmtId="0" xfId="0" applyAlignment="1" applyFont="1">
      <alignment horizontal="left" readingOrder="0" shrinkToFit="0" vertical="center" wrapText="0"/>
    </xf>
    <xf borderId="0" fillId="0" fontId="5" numFmtId="0" xfId="0" applyAlignment="1" applyFont="1">
      <alignment horizontal="center" readingOrder="0" shrinkToFit="0" vertical="center" wrapText="0"/>
    </xf>
    <xf borderId="0" fillId="0" fontId="5" numFmtId="164" xfId="0" applyAlignment="1" applyFont="1" applyNumberFormat="1">
      <alignment horizontal="center" readingOrder="0" shrinkToFit="0" vertical="center" wrapText="0"/>
    </xf>
    <xf borderId="0" fillId="0" fontId="5" numFmtId="0" xfId="0" applyAlignment="1" applyFont="1">
      <alignment shrinkToFit="0" vertical="center" wrapText="0"/>
    </xf>
    <xf borderId="0" fillId="0" fontId="5" numFmtId="0" xfId="0" applyAlignment="1" applyFont="1">
      <alignment shrinkToFit="0" vertical="center" wrapText="1"/>
    </xf>
    <xf borderId="0" fillId="0" fontId="5" numFmtId="0" xfId="0" applyAlignment="1" applyFont="1">
      <alignment shrinkToFit="0" vertical="center" wrapText="0"/>
    </xf>
    <xf borderId="0" fillId="0" fontId="5" numFmtId="0" xfId="0" applyAlignment="1" applyFont="1">
      <alignment shrinkToFit="0" vertical="center" wrapText="1"/>
    </xf>
    <xf borderId="0" fillId="0" fontId="5" numFmtId="0" xfId="0" applyAlignment="1" applyFont="1">
      <alignment horizontal="left" readingOrder="0" shrinkToFit="0" vertical="center" wrapText="0"/>
    </xf>
    <xf borderId="0" fillId="0" fontId="5" numFmtId="0" xfId="0" applyAlignment="1" applyFont="1">
      <alignment horizontal="center" readingOrder="0" shrinkToFit="0" vertical="center" wrapText="0"/>
    </xf>
    <xf borderId="0" fillId="0" fontId="5" numFmtId="164" xfId="0" applyAlignment="1" applyFont="1" applyNumberFormat="1">
      <alignment horizontal="center" shrinkToFit="0" vertical="center" wrapText="0"/>
    </xf>
    <xf borderId="0" fillId="0" fontId="5" numFmtId="0" xfId="0" applyAlignment="1" applyFont="1">
      <alignment shrinkToFit="0" vertical="center" wrapText="0"/>
    </xf>
    <xf borderId="0" fillId="0" fontId="5" numFmtId="0" xfId="0" applyAlignment="1" applyFont="1">
      <alignment readingOrder="0" shrinkToFit="0" vertical="center" wrapText="1"/>
    </xf>
    <xf borderId="0" fillId="0" fontId="5" numFmtId="0" xfId="0" applyAlignment="1" applyFont="1">
      <alignment shrinkToFit="0" vertical="center" wrapText="1"/>
    </xf>
    <xf borderId="0" fillId="0" fontId="5" numFmtId="0" xfId="0" applyAlignment="1" applyFont="1">
      <alignment horizontal="left" shrinkToFit="0" vertical="center" wrapText="0"/>
    </xf>
    <xf borderId="0" fillId="0" fontId="5" numFmtId="0" xfId="0" applyAlignment="1" applyFont="1">
      <alignment readingOrder="0" shrinkToFit="0" vertical="center" wrapText="1"/>
    </xf>
    <xf borderId="0" fillId="0" fontId="5" numFmtId="0" xfId="0" applyAlignment="1" applyFont="1">
      <alignment readingOrder="0" shrinkToFit="0" vertical="center" wrapText="1"/>
    </xf>
    <xf borderId="1" fillId="2" fontId="5" numFmtId="0" xfId="0" applyAlignment="1" applyBorder="1" applyFill="1" applyFont="1">
      <alignment shrinkToFit="0" vertical="center" wrapText="0"/>
    </xf>
    <xf borderId="2" fillId="2" fontId="6" numFmtId="0" xfId="0" applyAlignment="1" applyBorder="1" applyFont="1">
      <alignment shrinkToFit="0" vertical="center" wrapText="1"/>
    </xf>
    <xf borderId="2" fillId="2" fontId="2" numFmtId="0" xfId="0" applyAlignment="1" applyBorder="1" applyFont="1">
      <alignment shrinkToFit="0" vertical="center" wrapText="0"/>
    </xf>
    <xf borderId="2" fillId="2" fontId="2" numFmtId="0" xfId="0" applyAlignment="1" applyBorder="1" applyFont="1">
      <alignment shrinkToFit="0" vertical="center" wrapText="0"/>
    </xf>
    <xf borderId="2" fillId="2" fontId="6" numFmtId="0" xfId="0" applyAlignment="1" applyBorder="1" applyFont="1">
      <alignment horizontal="center" readingOrder="0" shrinkToFit="0" vertical="center" wrapText="0"/>
    </xf>
    <xf borderId="2" fillId="2" fontId="6" numFmtId="164" xfId="0" applyAlignment="1" applyBorder="1" applyFont="1" applyNumberFormat="1">
      <alignment horizontal="center" shrinkToFit="0" vertical="center" wrapText="0"/>
    </xf>
    <xf borderId="3" fillId="2" fontId="6" numFmtId="0" xfId="0" applyAlignment="1" applyBorder="1" applyFont="1">
      <alignment shrinkToFit="0" vertical="center" wrapText="1"/>
    </xf>
    <xf borderId="0" fillId="0" fontId="7" numFmtId="0" xfId="0" applyAlignment="1" applyFont="1">
      <alignment readingOrder="0" shrinkToFit="0" vertical="center" wrapText="0"/>
    </xf>
    <xf borderId="0" fillId="0" fontId="8" numFmtId="0" xfId="0" applyAlignment="1" applyFont="1">
      <alignment shrinkToFit="0" vertical="center" wrapText="1"/>
    </xf>
    <xf borderId="0" fillId="0" fontId="8" numFmtId="0" xfId="0" applyAlignment="1" applyFont="1">
      <alignment shrinkToFit="0" vertical="center" wrapText="0"/>
    </xf>
    <xf borderId="0" fillId="0" fontId="8" numFmtId="0" xfId="0" applyAlignment="1" applyFont="1">
      <alignment horizontal="left" shrinkToFit="0" vertical="center" wrapText="0"/>
    </xf>
    <xf borderId="0" fillId="0" fontId="8" numFmtId="0" xfId="0" applyAlignment="1" applyFont="1">
      <alignment horizontal="center" shrinkToFit="0" vertical="center" wrapText="0"/>
    </xf>
    <xf borderId="0" fillId="0" fontId="8" numFmtId="164" xfId="0" applyAlignment="1" applyFont="1" applyNumberFormat="1">
      <alignment horizontal="center" shrinkToFit="0" vertical="center" wrapText="0"/>
    </xf>
    <xf borderId="0" fillId="0" fontId="7" numFmtId="164" xfId="0" applyAlignment="1" applyFont="1" applyNumberFormat="1">
      <alignment horizontal="center" shrinkToFit="0" vertical="center" wrapText="0"/>
    </xf>
    <xf borderId="0" fillId="0" fontId="4" numFmtId="49" xfId="0" applyAlignment="1" applyFont="1" applyNumberFormat="1">
      <alignment shrinkToFit="0" vertical="bottom" wrapText="1"/>
    </xf>
    <xf borderId="0" fillId="0" fontId="5" numFmtId="0" xfId="0" applyAlignment="1" applyFont="1">
      <alignment readingOrder="0" shrinkToFit="0" vertical="center" wrapText="0"/>
    </xf>
    <xf borderId="0" fillId="0" fontId="9" numFmtId="0" xfId="0" applyAlignment="1" applyFont="1">
      <alignment shrinkToFit="0" vertical="center" wrapText="1"/>
    </xf>
    <xf borderId="4" fillId="3" fontId="5" numFmtId="0" xfId="0" applyAlignment="1" applyBorder="1" applyFill="1" applyFont="1">
      <alignment shrinkToFit="0" vertical="center" wrapText="0"/>
    </xf>
    <xf borderId="5" fillId="3" fontId="10" numFmtId="0" xfId="0" applyAlignment="1" applyBorder="1" applyFont="1">
      <alignment shrinkToFit="0" vertical="center" wrapText="0"/>
    </xf>
    <xf borderId="5" fillId="3" fontId="6" numFmtId="0" xfId="0" applyAlignment="1" applyBorder="1" applyFont="1">
      <alignment shrinkToFit="0" vertical="center" wrapText="0"/>
    </xf>
    <xf borderId="5" fillId="3" fontId="6" numFmtId="0" xfId="0" applyAlignment="1" applyBorder="1" applyFont="1">
      <alignment readingOrder="0" shrinkToFit="0" vertical="center" wrapText="1"/>
    </xf>
    <xf borderId="5" fillId="3" fontId="2" numFmtId="0" xfId="0" applyAlignment="1" applyBorder="1" applyFont="1">
      <alignment shrinkToFit="0" vertical="center" wrapText="0"/>
    </xf>
    <xf borderId="5" fillId="3" fontId="6" numFmtId="0" xfId="0" applyAlignment="1" applyBorder="1" applyFont="1">
      <alignment horizontal="center" shrinkToFit="0" vertical="center" wrapText="0"/>
    </xf>
    <xf borderId="5" fillId="3" fontId="6" numFmtId="164" xfId="0" applyAlignment="1" applyBorder="1" applyFont="1" applyNumberFormat="1">
      <alignment horizontal="center" shrinkToFit="0" vertical="center" wrapText="0"/>
    </xf>
    <xf borderId="6" fillId="3" fontId="2" numFmtId="0" xfId="0" applyAlignment="1" applyBorder="1" applyFont="1">
      <alignment shrinkToFit="0" vertical="center" wrapText="0"/>
    </xf>
    <xf borderId="5" fillId="3" fontId="11" numFmtId="0" xfId="0" applyAlignment="1" applyBorder="1" applyFont="1">
      <alignment shrinkToFit="0" vertical="center" wrapText="0"/>
    </xf>
    <xf borderId="5" fillId="3" fontId="6" numFmtId="0" xfId="0" applyAlignment="1" applyBorder="1" applyFont="1">
      <alignment shrinkToFit="0" vertical="center" wrapText="1"/>
    </xf>
    <xf borderId="5" fillId="3" fontId="6" numFmtId="0" xfId="0" applyAlignment="1" applyBorder="1" applyFont="1">
      <alignment shrinkToFit="0" vertical="center" wrapText="0"/>
    </xf>
    <xf borderId="6" fillId="3" fontId="6" numFmtId="0" xfId="0" applyAlignment="1" applyBorder="1" applyFont="1">
      <alignment shrinkToFit="0" vertical="center" wrapText="1"/>
    </xf>
    <xf borderId="0" fillId="0" fontId="1" numFmtId="0" xfId="0" applyAlignment="1" applyFont="1">
      <alignment shrinkToFit="0" vertical="center" wrapText="1"/>
    </xf>
    <xf borderId="0" fillId="0" fontId="12" numFmtId="0" xfId="0" applyAlignment="1" applyFont="1">
      <alignment horizontal="center" shrinkToFit="0" wrapText="1"/>
    </xf>
    <xf borderId="0" fillId="0" fontId="13" numFmtId="0" xfId="0" applyAlignment="1" applyFont="1">
      <alignment shrinkToFit="0" vertical="center" wrapText="1"/>
    </xf>
    <xf borderId="0" fillId="0" fontId="13" numFmtId="0" xfId="0" applyAlignment="1" applyFont="1">
      <alignment shrinkToFit="0" vertical="center" wrapText="1"/>
    </xf>
    <xf borderId="0" fillId="0" fontId="13" numFmtId="0" xfId="0" applyAlignment="1" applyFont="1">
      <alignment horizontal="center" shrinkToFit="0" vertical="center" wrapText="1"/>
    </xf>
    <xf borderId="0" fillId="0" fontId="4" numFmtId="0" xfId="0" applyAlignment="1" applyFont="1">
      <alignment shrinkToFit="0" vertical="center" wrapText="1"/>
    </xf>
    <xf borderId="0" fillId="4" fontId="3" numFmtId="0" xfId="0" applyAlignment="1" applyFill="1" applyFont="1">
      <alignment shrinkToFit="0" vertical="center" wrapText="1"/>
    </xf>
    <xf borderId="0" fillId="0" fontId="13" numFmtId="166" xfId="0" applyAlignment="1" applyFont="1" applyNumberFormat="1">
      <alignment shrinkToFit="0" vertical="center" wrapText="1"/>
    </xf>
    <xf borderId="0" fillId="0" fontId="13" numFmtId="0" xfId="0" applyAlignment="1" applyFont="1">
      <alignment horizontal="center" shrinkToFit="0" vertical="center" wrapText="1"/>
    </xf>
    <xf borderId="0" fillId="0" fontId="3" numFmtId="0" xfId="0" applyAlignment="1" applyFont="1">
      <alignment shrinkToFit="0" vertical="center" wrapText="1"/>
    </xf>
    <xf borderId="0" fillId="0" fontId="13" numFmtId="164" xfId="0" applyAlignment="1" applyFont="1" applyNumberFormat="1">
      <alignment horizontal="center" shrinkToFit="0" vertical="center" wrapText="1"/>
    </xf>
    <xf borderId="0" fillId="0" fontId="5" numFmtId="0" xfId="0" applyAlignment="1" applyFont="1">
      <alignment shrinkToFit="0" vertical="bottom" wrapText="1"/>
    </xf>
    <xf borderId="0" fillId="0" fontId="5" numFmtId="0" xfId="0" applyAlignment="1" applyFont="1">
      <alignment shrinkToFit="0" wrapText="1"/>
    </xf>
    <xf borderId="0" fillId="0" fontId="5" numFmtId="0" xfId="0" applyAlignment="1" applyFont="1">
      <alignment horizontal="center" shrinkToFit="0" wrapText="1"/>
    </xf>
    <xf borderId="0" fillId="0" fontId="3" numFmtId="49" xfId="0" applyAlignment="1" applyFont="1" applyNumberFormat="1">
      <alignment horizontal="left" readingOrder="0" shrinkToFit="0" vertical="center" wrapText="1"/>
    </xf>
    <xf borderId="0" fillId="0" fontId="3" numFmtId="49" xfId="0" applyAlignment="1" applyFont="1" applyNumberFormat="1">
      <alignment horizontal="center" readingOrder="0" shrinkToFit="0" vertical="center" wrapText="1"/>
    </xf>
    <xf borderId="0" fillId="0" fontId="14" numFmtId="0" xfId="0" applyAlignment="1" applyFont="1">
      <alignment readingOrder="0" shrinkToFit="0" vertical="center" wrapText="1"/>
    </xf>
    <xf borderId="0" fillId="0" fontId="15" numFmtId="0" xfId="0" applyAlignment="1" applyFont="1">
      <alignment readingOrder="0" shrinkToFit="0" vertical="center" wrapText="1"/>
    </xf>
    <xf borderId="0" fillId="0" fontId="15" numFmtId="0" xfId="0" applyAlignment="1" applyFont="1">
      <alignment readingOrder="0" shrinkToFit="0" vertical="center" wrapText="1"/>
    </xf>
    <xf borderId="0" fillId="0" fontId="15" numFmtId="0" xfId="0" applyAlignment="1" applyFont="1">
      <alignment horizontal="center" readingOrder="0" shrinkToFit="0" vertical="center" wrapText="1"/>
    </xf>
    <xf borderId="0" fillId="0" fontId="15" numFmtId="164" xfId="0" applyAlignment="1" applyFont="1" applyNumberFormat="1">
      <alignment horizontal="center" shrinkToFit="0" vertical="center" wrapText="1"/>
    </xf>
    <xf borderId="0" fillId="0" fontId="15" numFmtId="164" xfId="0" applyAlignment="1" applyFont="1" applyNumberFormat="1">
      <alignment horizontal="center" readingOrder="0" shrinkToFit="0" vertical="center" wrapText="1"/>
    </xf>
    <xf borderId="0" fillId="0" fontId="14" numFmtId="0" xfId="0" applyAlignment="1" applyFont="1">
      <alignment readingOrder="0" shrinkToFit="0" vertical="center" wrapText="1"/>
    </xf>
    <xf borderId="0" fillId="0" fontId="15" numFmtId="0" xfId="0" applyAlignment="1" applyFont="1">
      <alignment readingOrder="0" shrinkToFit="0" vertical="center" wrapText="1"/>
    </xf>
    <xf borderId="0" fillId="0" fontId="15" numFmtId="0" xfId="0" applyAlignment="1" applyFont="1">
      <alignment shrinkToFit="0" vertical="center" wrapText="1"/>
    </xf>
    <xf borderId="0" fillId="0" fontId="14" numFmtId="0" xfId="0" applyAlignment="1" applyFont="1">
      <alignment shrinkToFit="0" vertical="center" wrapText="1"/>
    </xf>
    <xf borderId="0" fillId="0" fontId="15" numFmtId="0" xfId="0" applyAlignment="1" applyFont="1">
      <alignment shrinkToFit="0" vertical="center" wrapText="1"/>
    </xf>
    <xf borderId="0" fillId="0" fontId="15" numFmtId="0" xfId="0" applyAlignment="1" applyFont="1">
      <alignment shrinkToFit="0" vertical="center" wrapText="1"/>
    </xf>
    <xf borderId="0" fillId="0" fontId="14" numFmtId="0" xfId="0" applyAlignment="1" applyFont="1">
      <alignment shrinkToFit="0" vertical="center" wrapText="1"/>
    </xf>
    <xf borderId="0" fillId="0" fontId="14" numFmtId="0" xfId="0" applyAlignment="1" applyFont="1">
      <alignment horizontal="center" shrinkToFit="0" vertical="center" wrapText="1"/>
    </xf>
    <xf borderId="0" fillId="0" fontId="14" numFmtId="164" xfId="0" applyAlignment="1" applyFont="1" applyNumberFormat="1">
      <alignment horizontal="center" shrinkToFit="0" vertical="center" wrapText="1"/>
    </xf>
    <xf borderId="0" fillId="0" fontId="16" numFmtId="0" xfId="0" applyAlignment="1" applyFont="1">
      <alignment horizontal="left" readingOrder="0" shrinkToFit="0" vertical="center" wrapText="1"/>
    </xf>
    <xf borderId="0" fillId="0" fontId="16" numFmtId="0" xfId="0" applyAlignment="1" applyFont="1">
      <alignment horizontal="center" readingOrder="0" shrinkToFit="0" vertical="center" wrapText="1"/>
    </xf>
    <xf borderId="0" fillId="0" fontId="4" numFmtId="0" xfId="0" applyAlignment="1" applyFont="1">
      <alignment shrinkToFit="0" wrapText="1"/>
    </xf>
    <xf borderId="0" fillId="0" fontId="3" numFmtId="0" xfId="0" applyAlignment="1" applyFont="1">
      <alignment horizontal="left" readingOrder="0" shrinkToFit="0" vertical="center" wrapText="1"/>
    </xf>
    <xf borderId="0" fillId="0" fontId="3" numFmtId="0" xfId="0" applyAlignment="1" applyFont="1">
      <alignment horizontal="center" readingOrder="0" shrinkToFit="0" vertical="center" wrapText="1"/>
    </xf>
    <xf borderId="0" fillId="0" fontId="3" numFmtId="0" xfId="0" applyAlignment="1" applyFont="1">
      <alignment horizontal="left" readingOrder="0" shrinkToFit="0" vertical="center" wrapText="1"/>
    </xf>
    <xf borderId="0" fillId="0" fontId="3" numFmtId="0" xfId="0" applyAlignment="1" applyFont="1">
      <alignment horizontal="center" readingOrder="0" shrinkToFit="0" vertical="center" wrapText="1"/>
    </xf>
    <xf borderId="0" fillId="0" fontId="15" numFmtId="0" xfId="0" applyAlignment="1" applyFont="1">
      <alignment readingOrder="0" shrinkToFit="0" vertical="center" wrapText="1"/>
    </xf>
    <xf borderId="0" fillId="0" fontId="15" numFmtId="0" xfId="0" applyAlignment="1" applyFont="1">
      <alignment horizontal="center" readingOrder="0" shrinkToFit="0" vertical="center" wrapText="1"/>
    </xf>
    <xf borderId="0" fillId="0" fontId="15" numFmtId="164" xfId="0" applyAlignment="1" applyFont="1" applyNumberFormat="1">
      <alignment horizontal="center" readingOrder="0" shrinkToFit="0" vertical="center" wrapText="1"/>
    </xf>
    <xf borderId="0" fillId="0" fontId="15" numFmtId="0" xfId="0" applyAlignment="1" applyFont="1">
      <alignment readingOrder="0" shrinkToFit="0" vertical="center" wrapText="1"/>
    </xf>
    <xf borderId="0" fillId="0" fontId="15" numFmtId="0" xfId="0" applyAlignment="1" applyFont="1">
      <alignment readingOrder="0" shrinkToFit="0" vertical="center" wrapText="1"/>
    </xf>
    <xf borderId="0" fillId="0" fontId="15" numFmtId="0" xfId="0" applyAlignment="1" applyFont="1">
      <alignment horizontal="center" readingOrder="0" shrinkToFit="0" vertical="center" wrapText="1"/>
    </xf>
    <xf borderId="0" fillId="0" fontId="4" numFmtId="0" xfId="0" applyAlignment="1" applyFont="1">
      <alignment shrinkToFit="0" vertical="center" wrapText="1"/>
    </xf>
    <xf borderId="0" fillId="0" fontId="4" numFmtId="0" xfId="0" applyAlignment="1" applyFont="1">
      <alignment horizontal="center" shrinkToFit="0" vertical="center" wrapText="1"/>
    </xf>
    <xf borderId="0" fillId="5" fontId="3" numFmtId="0" xfId="0" applyAlignment="1" applyFill="1" applyFont="1">
      <alignment shrinkToFit="0" wrapText="1"/>
    </xf>
    <xf borderId="0" fillId="5" fontId="4" numFmtId="0" xfId="0" applyAlignment="1" applyFont="1">
      <alignment shrinkToFit="0" wrapText="1"/>
    </xf>
    <xf borderId="0" fillId="5" fontId="13" numFmtId="0" xfId="0" applyAlignment="1" applyFont="1">
      <alignment shrinkToFit="0" wrapText="1"/>
    </xf>
    <xf borderId="0" fillId="5" fontId="13" numFmtId="0" xfId="0" applyAlignment="1" applyFont="1">
      <alignment shrinkToFit="0" wrapText="1"/>
    </xf>
    <xf borderId="0" fillId="4" fontId="3" numFmtId="0" xfId="0" applyAlignment="1" applyFont="1">
      <alignment horizontal="left" readingOrder="0" shrinkToFit="0" vertical="center" wrapText="1"/>
    </xf>
    <xf borderId="0" fillId="4" fontId="3" numFmtId="0" xfId="0" applyAlignment="1" applyFont="1">
      <alignment horizontal="center" readingOrder="0" shrinkToFit="0" vertical="center" wrapText="1"/>
    </xf>
    <xf borderId="0" fillId="4" fontId="3" numFmtId="164" xfId="0" applyAlignment="1" applyFont="1" applyNumberFormat="1">
      <alignment horizontal="center" readingOrder="0" shrinkToFit="0" vertical="center" wrapText="1"/>
    </xf>
    <xf borderId="0" fillId="4" fontId="3" numFmtId="49" xfId="0" applyAlignment="1" applyFont="1" applyNumberFormat="1">
      <alignment horizontal="left" readingOrder="0" shrinkToFit="0" vertical="center" wrapText="1"/>
    </xf>
    <xf borderId="0" fillId="4" fontId="17" numFmtId="0" xfId="0" applyAlignment="1" applyFont="1">
      <alignment readingOrder="0" shrinkToFit="0" vertical="center" wrapText="1"/>
    </xf>
    <xf borderId="0" fillId="4" fontId="17" numFmtId="0" xfId="0" applyAlignment="1" applyFont="1">
      <alignment horizontal="center" readingOrder="0" shrinkToFit="0" vertical="center" wrapText="1"/>
    </xf>
    <xf borderId="0" fillId="4" fontId="17" numFmtId="0" xfId="0" applyAlignment="1" applyFont="1">
      <alignment readingOrder="0" shrinkToFit="0" vertical="center" wrapText="1"/>
    </xf>
    <xf borderId="0" fillId="4" fontId="17" numFmtId="164" xfId="0" applyAlignment="1" applyFont="1" applyNumberFormat="1">
      <alignment horizontal="center" readingOrder="0" shrinkToFit="0" vertical="center" wrapText="1"/>
    </xf>
    <xf borderId="0" fillId="4" fontId="17" numFmtId="0" xfId="0" applyAlignment="1" applyFont="1">
      <alignment readingOrder="0" shrinkToFit="0" vertical="center" wrapText="1"/>
    </xf>
    <xf borderId="0" fillId="0" fontId="15" numFmtId="0" xfId="0" applyAlignment="1" applyFont="1">
      <alignment horizontal="center" readingOrder="0" shrinkToFit="0" vertical="center" wrapText="1"/>
    </xf>
    <xf borderId="0" fillId="0" fontId="15" numFmtId="164" xfId="0" applyAlignment="1" applyFont="1" applyNumberFormat="1">
      <alignment horizontal="center" readingOrder="0" shrinkToFit="0" vertical="center" wrapText="1"/>
    </xf>
    <xf borderId="0" fillId="0" fontId="15" numFmtId="0" xfId="0" applyAlignment="1" applyFont="1">
      <alignment readingOrder="0" shrinkToFit="0" vertical="center" wrapText="1"/>
    </xf>
    <xf borderId="0" fillId="0" fontId="17" numFmtId="0" xfId="0" applyAlignment="1" applyFont="1">
      <alignment readingOrder="0" shrinkToFit="0" vertical="center" wrapText="1"/>
    </xf>
    <xf borderId="0" fillId="0" fontId="15" numFmtId="0" xfId="0" applyAlignment="1" applyFont="1">
      <alignment shrinkToFit="0" vertical="center" wrapText="1"/>
    </xf>
    <xf borderId="0" fillId="0" fontId="15" numFmtId="0" xfId="0" applyAlignment="1" applyFont="1">
      <alignment horizontal="center" shrinkToFit="0" vertical="center" wrapText="1"/>
    </xf>
    <xf borderId="0" fillId="0" fontId="15" numFmtId="164" xfId="0" applyAlignment="1" applyFont="1" applyNumberFormat="1">
      <alignment horizontal="center" shrinkToFit="0" vertical="center" wrapText="1"/>
    </xf>
    <xf borderId="0" fillId="5" fontId="17" numFmtId="0" xfId="0" applyAlignment="1" applyFont="1">
      <alignment shrinkToFit="0" vertical="center" wrapText="1"/>
    </xf>
    <xf borderId="0" fillId="5" fontId="15" numFmtId="0" xfId="0" applyAlignment="1" applyFont="1">
      <alignment readingOrder="0" shrinkToFit="0" vertical="center" wrapText="1"/>
    </xf>
  </cellXfs>
  <cellStyles count="1">
    <cellStyle xfId="0" name="Normal" builtinId="0"/>
  </cellStyles>
  <dxfs count="6">
    <dxf>
      <font/>
      <fill>
        <patternFill patternType="none"/>
      </fill>
      <border/>
    </dxf>
    <dxf>
      <font/>
      <fill>
        <patternFill patternType="solid">
          <fgColor rgb="FF00E2FF"/>
          <bgColor rgb="FF00E2FF"/>
        </patternFill>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BFF7FF"/>
          <bgColor rgb="FFBFF7FF"/>
        </patternFill>
      </fill>
      <border/>
    </dxf>
    <dxf>
      <border>
        <left style="thin">
          <color rgb="FF00E2FF"/>
        </left>
        <right style="thin">
          <color rgb="FF00E2FF"/>
        </right>
        <top style="thin">
          <color rgb="FF00E2FF"/>
        </top>
        <bottom style="thin">
          <color rgb="FF00E2FF"/>
        </bottom>
      </border>
    </dxf>
  </dxfs>
  <tableStyles count="6">
    <tableStyle count="5" pivot="0" name="Audit-style">
      <tableStyleElement dxfId="1" type="headerRow"/>
      <tableStyleElement dxfId="2" type="firstRowStripe"/>
      <tableStyleElement dxfId="3" type="secondRowStripe"/>
      <tableStyleElement dxfId="4" type="totalRow"/>
      <tableStyleElement dxfId="5" size="0" type="wholeTable"/>
    </tableStyle>
    <tableStyle count="5" pivot="0" name="Onboarding  Setup-style">
      <tableStyleElement dxfId="1" type="headerRow"/>
      <tableStyleElement dxfId="2" type="firstRowStripe"/>
      <tableStyleElement dxfId="3" type="secondRowStripe"/>
      <tableStyleElement dxfId="4" type="totalRow"/>
      <tableStyleElement dxfId="5" size="0" type="wholeTable"/>
    </tableStyle>
    <tableStyle count="5" pivot="0" name="Ongoing Social-style">
      <tableStyleElement dxfId="1" type="headerRow"/>
      <tableStyleElement dxfId="2" type="firstRowStripe"/>
      <tableStyleElement dxfId="3" type="secondRowStripe"/>
      <tableStyleElement dxfId="4" type="totalRow"/>
      <tableStyleElement dxfId="5" size="0" type="wholeTable"/>
    </tableStyle>
    <tableStyle count="5" pivot="0" name="Monthly Organic-style">
      <tableStyleElement dxfId="1" type="headerRow"/>
      <tableStyleElement dxfId="2" type="firstRowStripe"/>
      <tableStyleElement dxfId="3" type="secondRowStripe"/>
      <tableStyleElement dxfId="4" type="totalRow"/>
      <tableStyleElement dxfId="5" size="0" type="wholeTable"/>
    </tableStyle>
    <tableStyle count="5" pivot="0" name="Monthly Organic-style 2">
      <tableStyleElement dxfId="1" type="headerRow"/>
      <tableStyleElement dxfId="2" type="firstRowStripe"/>
      <tableStyleElement dxfId="3" type="secondRowStripe"/>
      <tableStyleElement dxfId="4" type="totalRow"/>
      <tableStyleElement dxfId="5" size="0" type="wholeTable"/>
    </tableStyle>
    <tableStyle count="4" pivot="0" name="Standard Creative Estimates-style">
      <tableStyleElement dxfId="1" type="headerRow"/>
      <tableStyleElement dxfId="2" type="firstRowStripe"/>
      <tableStyleElement dxfId="3" type="secondRowStripe"/>
      <tableStyleElement dxfId="5"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totalsRowCount="1" ref="A13:I20" displayName="Scope_of_Work" name="Scope_of_Work" id="1">
  <tableColumns count="9">
    <tableColumn totalsRowLabel="Total Cost:" name="Phase" id="1"/>
    <tableColumn name="Service " id="2"/>
    <tableColumn name="Task" id="3"/>
    <tableColumn name="Description" id="4"/>
    <tableColumn name="Team" id="5"/>
    <tableColumn name="Hours" id="6"/>
    <tableColumn name="Rate" id="7"/>
    <tableColumn totalsRowFunction="custom" name="Total" id="8"/>
    <tableColumn name="Notes / Explanations" id="9"/>
  </tableColumns>
  <tableStyleInfo name="Audit-style" showColumnStripes="0" showFirstColumn="1" showLastColumn="1" showRowStripes="1"/>
</table>
</file>

<file path=xl/tables/table2.xml><?xml version="1.0" encoding="utf-8"?>
<table xmlns="http://schemas.openxmlformats.org/spreadsheetml/2006/main" totalsRowCount="1" ref="A13:I37" displayName="Scope_of_Work_2" name="Scope_of_Work_2" id="2">
  <tableColumns count="9">
    <tableColumn totalsRowLabel="Total Cost:" name="Phase" id="1"/>
    <tableColumn name="Service " id="2"/>
    <tableColumn name="Task" id="3"/>
    <tableColumn name="Description" id="4"/>
    <tableColumn name="Team" id="5"/>
    <tableColumn name="Hours" id="6"/>
    <tableColumn name="Rate" id="7"/>
    <tableColumn totalsRowFunction="custom" name="Total" id="8"/>
    <tableColumn name="Notes / Explanations" id="9"/>
  </tableColumns>
  <tableStyleInfo name="Onboarding  Setup-style" showColumnStripes="0" showFirstColumn="1" showLastColumn="1" showRowStripes="1"/>
</table>
</file>

<file path=xl/tables/table3.xml><?xml version="1.0" encoding="utf-8"?>
<table xmlns="http://schemas.openxmlformats.org/spreadsheetml/2006/main" totalsRowCount="1" ref="A13:I33" displayName="Scope_of_Work_3" name="Scope_of_Work_3" id="3">
  <tableColumns count="9">
    <tableColumn totalsRowLabel="Total Cost:" name="Phase" id="1"/>
    <tableColumn name="Service " id="2"/>
    <tableColumn name="Task" id="3"/>
    <tableColumn name="Description" id="4"/>
    <tableColumn name="Team" id="5"/>
    <tableColumn name="Hours" id="6"/>
    <tableColumn name="Rate" id="7"/>
    <tableColumn totalsRowFunction="custom" name="Total" id="8"/>
    <tableColumn name="Notes / Explanations" id="9"/>
  </tableColumns>
  <tableStyleInfo name="Ongoing Social-style" showColumnStripes="0" showFirstColumn="1" showLastColumn="1" showRowStripes="1"/>
</table>
</file>

<file path=xl/tables/table4.xml><?xml version="1.0" encoding="utf-8"?>
<table xmlns="http://schemas.openxmlformats.org/spreadsheetml/2006/main" totalsRowCount="1" ref="A13:G19" displayName="Setup_Costs" name="Setup_Costs" id="4">
  <tableColumns count="7">
    <tableColumn name="Service" id="1"/>
    <tableColumn totalsRowLabel="Project Total" name="Task" id="2"/>
    <tableColumn name="Description" id="3"/>
    <tableColumn name="Team" id="4"/>
    <tableColumn name="Hours" id="5"/>
    <tableColumn name="Rate" id="6"/>
    <tableColumn totalsRowFunction="custom" name="Total" id="7"/>
  </tableColumns>
  <tableStyleInfo name="Monthly Organic-style" showColumnStripes="0" showFirstColumn="1" showLastColumn="1" showRowStripes="1"/>
</table>
</file>

<file path=xl/tables/table5.xml><?xml version="1.0" encoding="utf-8"?>
<table xmlns="http://schemas.openxmlformats.org/spreadsheetml/2006/main" totalsRowCount="1" ref="A23:G31" displayName="Monthly_Ongoing" name="Monthly_Ongoing" id="5">
  <tableColumns count="7">
    <tableColumn name="Service" id="1"/>
    <tableColumn totalsRowLabel="Project Total" name="Task" id="2"/>
    <tableColumn name="Description" id="3"/>
    <tableColumn name="Team" id="4"/>
    <tableColumn name="Hours" id="5"/>
    <tableColumn name="Rate" id="6"/>
    <tableColumn totalsRowFunction="custom" name="Total" id="7"/>
  </tableColumns>
  <tableStyleInfo name="Monthly Organic-style 2" showColumnStripes="0" showFirstColumn="1" showLastColumn="1" showRowStripes="1"/>
</table>
</file>

<file path=xl/tables/table6.xml><?xml version="1.0" encoding="utf-8"?>
<table xmlns="http://schemas.openxmlformats.org/spreadsheetml/2006/main" ref="A1:H5" displayName="Creative_Estimates" name="Creative_Estimates" id="6">
  <tableColumns count="8">
    <tableColumn name="Item" id="1"/>
    <tableColumn name="Description" id="2"/>
    <tableColumn name="Team" id="3"/>
    <tableColumn name="Hours" id="4"/>
    <tableColumn name="Rate" id="5"/>
    <tableColumn name="Total" id="6"/>
    <tableColumn name="Service" id="7"/>
    <tableColumn name="Notes / Explanations" id="8"/>
  </tableColumns>
  <tableStyleInfo name="Standard Creative Estimat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r9GjagdJwvWrn1QDyb_vJRUeEmbskLyqdprKntcgRm0/edit?tab=t.0" TargetMode="External"/><Relationship Id="rId2" Type="http://schemas.openxmlformats.org/officeDocument/2006/relationships/hyperlink" Target="https://docs.google.com/document/d/1r9GjagdJwvWrn1QDyb_vJRUeEmbskLyqdprKntcgRm0/edit?tab=t.0" TargetMode="External"/><Relationship Id="rId3" Type="http://schemas.openxmlformats.org/officeDocument/2006/relationships/drawing" Target="../drawings/drawing2.x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4" Type="http://schemas.openxmlformats.org/officeDocument/2006/relationships/table" Target="../tables/table4.xml"/><Relationship Id="rId5"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5"/>
    <col customWidth="1" min="2" max="2" width="17.75"/>
    <col customWidth="1" min="3" max="3" width="22.63"/>
    <col customWidth="1" min="4" max="4" width="37.88"/>
    <col customWidth="1" min="5" max="5" width="19.5"/>
    <col customWidth="1" min="6" max="6" width="9.88"/>
    <col customWidth="1" min="8" max="8" width="17.5"/>
    <col customWidth="1" min="9" max="9" width="23.88"/>
  </cols>
  <sheetData>
    <row r="1">
      <c r="A1" s="1" t="s">
        <v>0</v>
      </c>
      <c r="H1" s="2"/>
      <c r="I1" s="2"/>
    </row>
    <row r="2">
      <c r="A2" s="3"/>
      <c r="B2" s="4"/>
      <c r="C2" s="3"/>
      <c r="D2" s="5"/>
      <c r="E2" s="5"/>
      <c r="F2" s="5"/>
      <c r="G2" s="2"/>
      <c r="H2" s="2"/>
      <c r="I2" s="2"/>
    </row>
    <row r="3">
      <c r="A3" s="6" t="s">
        <v>1</v>
      </c>
      <c r="B3" s="4"/>
      <c r="C3" s="3"/>
      <c r="D3" s="5"/>
      <c r="E3" s="5"/>
      <c r="F3" s="5"/>
      <c r="G3" s="2"/>
      <c r="H3" s="2"/>
      <c r="I3" s="2"/>
    </row>
    <row r="4">
      <c r="A4" s="7" t="s">
        <v>2</v>
      </c>
      <c r="H4" s="2"/>
      <c r="I4" s="2"/>
    </row>
    <row r="5">
      <c r="A5" s="3"/>
      <c r="B5" s="4"/>
      <c r="C5" s="3"/>
      <c r="D5" s="5"/>
      <c r="E5" s="5"/>
      <c r="F5" s="5"/>
      <c r="G5" s="2"/>
      <c r="H5" s="2"/>
      <c r="I5" s="2"/>
    </row>
    <row r="6">
      <c r="A6" s="6" t="s">
        <v>3</v>
      </c>
      <c r="B6" s="4"/>
      <c r="C6" s="3"/>
      <c r="D6" s="5"/>
      <c r="E6" s="5"/>
      <c r="F6" s="5"/>
      <c r="G6" s="2"/>
      <c r="H6" s="2"/>
      <c r="I6" s="2"/>
    </row>
    <row r="7">
      <c r="A7" s="7" t="s">
        <v>4</v>
      </c>
      <c r="H7" s="2"/>
      <c r="I7" s="2"/>
    </row>
    <row r="8">
      <c r="A8" s="3"/>
      <c r="B8" s="4"/>
      <c r="C8" s="3"/>
      <c r="D8" s="5"/>
      <c r="E8" s="5"/>
      <c r="F8" s="2"/>
      <c r="G8" s="2"/>
      <c r="H8" s="2"/>
      <c r="I8" s="2"/>
    </row>
    <row r="9">
      <c r="A9" s="6" t="s">
        <v>5</v>
      </c>
      <c r="H9" s="2"/>
      <c r="I9" s="2"/>
    </row>
    <row r="10">
      <c r="A10" s="8">
        <v>46023.0</v>
      </c>
      <c r="H10" s="2"/>
      <c r="I10" s="2"/>
    </row>
    <row r="11">
      <c r="A11" s="9"/>
      <c r="B11" s="10"/>
      <c r="C11" s="9"/>
      <c r="D11" s="11"/>
      <c r="E11" s="12"/>
      <c r="F11" s="13"/>
      <c r="G11" s="14"/>
      <c r="H11" s="14"/>
      <c r="I11" s="11"/>
    </row>
    <row r="12">
      <c r="A12" s="9"/>
      <c r="B12" s="10"/>
      <c r="C12" s="9"/>
      <c r="D12" s="11"/>
      <c r="E12" s="12"/>
      <c r="F12" s="13"/>
      <c r="G12" s="14"/>
      <c r="H12" s="14"/>
      <c r="I12" s="11"/>
    </row>
    <row r="13" ht="22.5" customHeight="1">
      <c r="A13" s="15" t="s">
        <v>6</v>
      </c>
      <c r="B13" s="16" t="s">
        <v>7</v>
      </c>
      <c r="C13" s="15" t="s">
        <v>8</v>
      </c>
      <c r="D13" s="17" t="s">
        <v>9</v>
      </c>
      <c r="E13" s="18" t="s">
        <v>10</v>
      </c>
      <c r="F13" s="19" t="s">
        <v>11</v>
      </c>
      <c r="G13" s="20" t="s">
        <v>12</v>
      </c>
      <c r="H13" s="20" t="s">
        <v>13</v>
      </c>
      <c r="I13" s="17" t="s">
        <v>14</v>
      </c>
    </row>
    <row r="14" ht="22.5" customHeight="1">
      <c r="A14" s="21" t="s">
        <v>15</v>
      </c>
      <c r="B14" s="22" t="s">
        <v>16</v>
      </c>
      <c r="C14" s="23" t="s">
        <v>4</v>
      </c>
      <c r="D14" s="24" t="s">
        <v>17</v>
      </c>
      <c r="E14" s="25" t="s">
        <v>18</v>
      </c>
      <c r="F14" s="26">
        <v>4.0</v>
      </c>
      <c r="G14" s="20">
        <v>125.0</v>
      </c>
      <c r="H14" s="27">
        <f t="shared" ref="H14:H19" si="1">F14*G14</f>
        <v>500</v>
      </c>
      <c r="I14" s="24"/>
    </row>
    <row r="15" ht="22.5" customHeight="1">
      <c r="A15" s="28" t="s">
        <v>15</v>
      </c>
      <c r="B15" s="29" t="s">
        <v>16</v>
      </c>
      <c r="C15" s="23" t="s">
        <v>19</v>
      </c>
      <c r="D15" s="24" t="s">
        <v>20</v>
      </c>
      <c r="E15" s="25" t="s">
        <v>18</v>
      </c>
      <c r="F15" s="26">
        <v>1.0</v>
      </c>
      <c r="G15" s="20">
        <v>125.0</v>
      </c>
      <c r="H15" s="27">
        <f t="shared" si="1"/>
        <v>125</v>
      </c>
      <c r="I15" s="24"/>
    </row>
    <row r="16" ht="22.5" customHeight="1">
      <c r="A16" s="28" t="s">
        <v>15</v>
      </c>
      <c r="B16" s="30" t="s">
        <v>21</v>
      </c>
      <c r="C16" s="23" t="s">
        <v>19</v>
      </c>
      <c r="D16" s="24" t="s">
        <v>20</v>
      </c>
      <c r="E16" s="31"/>
      <c r="F16" s="26">
        <v>1.0</v>
      </c>
      <c r="G16" s="20">
        <v>100.0</v>
      </c>
      <c r="H16" s="27">
        <f t="shared" si="1"/>
        <v>100</v>
      </c>
      <c r="I16" s="32" t="s">
        <v>22</v>
      </c>
    </row>
    <row r="17" ht="22.5" customHeight="1">
      <c r="A17" s="28" t="s">
        <v>15</v>
      </c>
      <c r="B17" s="30" t="s">
        <v>23</v>
      </c>
      <c r="C17" s="23" t="s">
        <v>24</v>
      </c>
      <c r="D17" s="24" t="s">
        <v>25</v>
      </c>
      <c r="E17" s="25" t="s">
        <v>26</v>
      </c>
      <c r="F17" s="26">
        <v>0.0</v>
      </c>
      <c r="G17" s="20">
        <v>100.0</v>
      </c>
      <c r="H17" s="27">
        <f t="shared" si="1"/>
        <v>0</v>
      </c>
      <c r="I17" s="24"/>
    </row>
    <row r="18" ht="22.5" customHeight="1">
      <c r="A18" s="28" t="s">
        <v>15</v>
      </c>
      <c r="B18" s="33" t="s">
        <v>21</v>
      </c>
      <c r="C18" s="23" t="s">
        <v>27</v>
      </c>
      <c r="D18" s="24" t="s">
        <v>28</v>
      </c>
      <c r="E18" s="25"/>
      <c r="F18" s="26">
        <v>0.0</v>
      </c>
      <c r="G18" s="20">
        <v>100.0</v>
      </c>
      <c r="H18" s="27">
        <f t="shared" si="1"/>
        <v>0</v>
      </c>
      <c r="I18" s="24"/>
    </row>
    <row r="19" ht="22.5" customHeight="1">
      <c r="A19" s="34" t="s">
        <v>15</v>
      </c>
      <c r="B19" s="35" t="s">
        <v>29</v>
      </c>
      <c r="C19" s="36"/>
      <c r="D19" s="36"/>
      <c r="E19" s="37"/>
      <c r="F19" s="38">
        <v>0.0</v>
      </c>
      <c r="G19" s="39">
        <v>100.0</v>
      </c>
      <c r="H19" s="39">
        <f t="shared" si="1"/>
        <v>0</v>
      </c>
      <c r="I19" s="40"/>
    </row>
    <row r="20" ht="22.5" customHeight="1">
      <c r="A20" s="41" t="s">
        <v>30</v>
      </c>
      <c r="B20" s="42"/>
      <c r="C20" s="43"/>
      <c r="D20" s="42"/>
      <c r="E20" s="44"/>
      <c r="F20" s="45"/>
      <c r="G20" s="46"/>
      <c r="H20" s="47">
        <f>SUM(Scope_of_Work[Total])</f>
        <v>725</v>
      </c>
      <c r="I20" s="42"/>
    </row>
  </sheetData>
  <customSheetViews>
    <customSheetView guid="{17EB35C3-CBC4-4E00-9431-2E08CD4715FB}" filter="1" showAutoFilter="1">
      <autoFilter ref="$A$13:$I$20"/>
    </customSheetView>
  </customSheetViews>
  <mergeCells count="5">
    <mergeCell ref="A1:G1"/>
    <mergeCell ref="A4:G4"/>
    <mergeCell ref="A7:G7"/>
    <mergeCell ref="A9:G9"/>
    <mergeCell ref="A10:G10"/>
  </mergeCells>
  <dataValidations>
    <dataValidation type="list" allowBlank="1" sqref="A14:A19">
      <formula1>"1. Audit ,2. Onboarding,3. Social Profile Setup,4. Ongoing Monthly,5. Monthly Expenses,6. Project Padding"</formula1>
    </dataValidation>
    <dataValidation type="list" allowBlank="1" sqref="E14:E19">
      <formula1>"Meg,Devon,Emily,Amy,Cassidy,Erin,Nick,Alli,Deb,HeyOrca,Getty,NextDoor,Meta"</formula1>
    </dataValidation>
    <dataValidation type="list" allowBlank="1" sqref="B14:B19">
      <formula1>"Social Media Management,Creative Design,Creative Direction,Software,Account Management,Production Managment,Marketing Coordinator,Formulating New Business"</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0.75"/>
    <col customWidth="1" min="2" max="2" width="17.75"/>
    <col customWidth="1" min="3" max="3" width="30.0"/>
    <col customWidth="1" min="4" max="4" width="37.88"/>
    <col customWidth="1" min="5" max="5" width="19.5"/>
    <col customWidth="1" min="6" max="6" width="9.88"/>
    <col customWidth="1" min="8" max="8" width="17.5"/>
    <col customWidth="1" min="9" max="9" width="23.88"/>
  </cols>
  <sheetData>
    <row r="1">
      <c r="A1" s="1" t="s">
        <v>0</v>
      </c>
      <c r="H1" s="2"/>
      <c r="I1" s="2"/>
    </row>
    <row r="2">
      <c r="A2" s="3"/>
      <c r="B2" s="3"/>
      <c r="C2" s="3"/>
      <c r="D2" s="5"/>
      <c r="E2" s="5"/>
      <c r="F2" s="5"/>
      <c r="G2" s="2"/>
      <c r="H2" s="2"/>
      <c r="I2" s="2"/>
    </row>
    <row r="3">
      <c r="A3" s="6" t="s">
        <v>1</v>
      </c>
      <c r="B3" s="3"/>
      <c r="C3" s="3"/>
      <c r="D3" s="5"/>
      <c r="E3" s="5"/>
      <c r="F3" s="5"/>
      <c r="G3" s="2"/>
      <c r="H3" s="2"/>
      <c r="I3" s="2"/>
    </row>
    <row r="4">
      <c r="A4" s="7" t="s">
        <v>2</v>
      </c>
      <c r="H4" s="2"/>
      <c r="I4" s="2"/>
    </row>
    <row r="5">
      <c r="A5" s="3"/>
      <c r="B5" s="3"/>
      <c r="C5" s="3"/>
      <c r="D5" s="5"/>
      <c r="E5" s="5"/>
      <c r="F5" s="5"/>
      <c r="G5" s="2"/>
      <c r="H5" s="2"/>
      <c r="I5" s="2"/>
    </row>
    <row r="6">
      <c r="A6" s="6" t="s">
        <v>3</v>
      </c>
      <c r="B6" s="3"/>
      <c r="C6" s="3"/>
      <c r="D6" s="5"/>
      <c r="E6" s="5"/>
      <c r="F6" s="5"/>
      <c r="G6" s="2"/>
      <c r="H6" s="2"/>
      <c r="I6" s="2"/>
    </row>
    <row r="7">
      <c r="A7" s="48" t="s">
        <v>31</v>
      </c>
      <c r="H7" s="2"/>
      <c r="I7" s="2"/>
    </row>
    <row r="8">
      <c r="A8" s="3"/>
      <c r="B8" s="3"/>
      <c r="C8" s="3"/>
      <c r="D8" s="5"/>
      <c r="E8" s="5"/>
      <c r="F8" s="2"/>
      <c r="G8" s="2"/>
      <c r="H8" s="2"/>
      <c r="I8" s="2"/>
    </row>
    <row r="9">
      <c r="A9" s="6" t="s">
        <v>5</v>
      </c>
      <c r="H9" s="2"/>
      <c r="I9" s="2"/>
    </row>
    <row r="10">
      <c r="A10" s="8">
        <v>46023.0</v>
      </c>
      <c r="H10" s="2"/>
      <c r="I10" s="2"/>
    </row>
    <row r="11">
      <c r="A11" s="9"/>
      <c r="B11" s="9"/>
      <c r="C11" s="9"/>
      <c r="D11" s="11"/>
      <c r="E11" s="12"/>
      <c r="F11" s="13"/>
      <c r="G11" s="14"/>
      <c r="H11" s="14"/>
      <c r="I11" s="11"/>
    </row>
    <row r="12">
      <c r="A12" s="9"/>
      <c r="B12" s="9"/>
      <c r="C12" s="9"/>
      <c r="D12" s="11"/>
      <c r="E12" s="12"/>
      <c r="F12" s="13"/>
      <c r="G12" s="14"/>
      <c r="H12" s="14"/>
      <c r="I12" s="11"/>
    </row>
    <row r="13" ht="22.5" customHeight="1">
      <c r="A13" s="15" t="s">
        <v>6</v>
      </c>
      <c r="B13" s="15" t="s">
        <v>7</v>
      </c>
      <c r="C13" s="15" t="s">
        <v>8</v>
      </c>
      <c r="D13" s="17" t="s">
        <v>9</v>
      </c>
      <c r="E13" s="18" t="s">
        <v>10</v>
      </c>
      <c r="F13" s="19" t="s">
        <v>11</v>
      </c>
      <c r="G13" s="20" t="s">
        <v>12</v>
      </c>
      <c r="H13" s="20" t="s">
        <v>13</v>
      </c>
      <c r="I13" s="17" t="s">
        <v>14</v>
      </c>
    </row>
    <row r="14" ht="22.5" customHeight="1">
      <c r="A14" s="28" t="s">
        <v>32</v>
      </c>
      <c r="B14" s="28" t="s">
        <v>16</v>
      </c>
      <c r="C14" s="23" t="s">
        <v>33</v>
      </c>
      <c r="D14" s="24" t="s">
        <v>34</v>
      </c>
      <c r="E14" s="31" t="s">
        <v>18</v>
      </c>
      <c r="F14" s="26">
        <v>0.0</v>
      </c>
      <c r="G14" s="20">
        <v>125.0</v>
      </c>
      <c r="H14" s="20">
        <v>0.0</v>
      </c>
      <c r="I14" s="24"/>
    </row>
    <row r="15" ht="22.5" customHeight="1">
      <c r="A15" s="28" t="s">
        <v>32</v>
      </c>
      <c r="B15" s="28" t="s">
        <v>21</v>
      </c>
      <c r="C15" s="23" t="s">
        <v>33</v>
      </c>
      <c r="D15" s="24" t="s">
        <v>34</v>
      </c>
      <c r="E15" s="25"/>
      <c r="F15" s="26">
        <v>0.0</v>
      </c>
      <c r="G15" s="20">
        <v>100.0</v>
      </c>
      <c r="H15" s="27">
        <v>775.0</v>
      </c>
      <c r="I15" s="24" t="s">
        <v>35</v>
      </c>
    </row>
    <row r="16" ht="22.5" customHeight="1">
      <c r="A16" s="28" t="s">
        <v>32</v>
      </c>
      <c r="B16" s="49" t="s">
        <v>16</v>
      </c>
      <c r="C16" s="23" t="s">
        <v>36</v>
      </c>
      <c r="D16" s="24" t="s">
        <v>37</v>
      </c>
      <c r="E16" s="25" t="s">
        <v>18</v>
      </c>
      <c r="F16" s="26">
        <v>4.0</v>
      </c>
      <c r="G16" s="20">
        <v>125.0</v>
      </c>
      <c r="H16" s="27">
        <v>775.0</v>
      </c>
      <c r="I16" s="24" t="s">
        <v>38</v>
      </c>
    </row>
    <row r="17" ht="22.5" customHeight="1">
      <c r="A17" s="28" t="s">
        <v>32</v>
      </c>
      <c r="B17" s="28" t="s">
        <v>16</v>
      </c>
      <c r="C17" s="23" t="s">
        <v>39</v>
      </c>
      <c r="D17" s="24" t="s">
        <v>40</v>
      </c>
      <c r="E17" s="31" t="s">
        <v>18</v>
      </c>
      <c r="F17" s="26">
        <v>0.0</v>
      </c>
      <c r="G17" s="20">
        <v>125.0</v>
      </c>
      <c r="H17" s="27">
        <f t="shared" ref="H17:H36" si="1">F17*G17</f>
        <v>0</v>
      </c>
      <c r="I17" s="24"/>
    </row>
    <row r="18" ht="22.5" customHeight="1">
      <c r="A18" s="28" t="s">
        <v>32</v>
      </c>
      <c r="B18" s="28" t="s">
        <v>16</v>
      </c>
      <c r="C18" s="23" t="s">
        <v>41</v>
      </c>
      <c r="D18" s="24" t="s">
        <v>42</v>
      </c>
      <c r="E18" s="25" t="s">
        <v>18</v>
      </c>
      <c r="F18" s="26">
        <v>0.0</v>
      </c>
      <c r="G18" s="20">
        <v>125.0</v>
      </c>
      <c r="H18" s="27">
        <f t="shared" si="1"/>
        <v>0</v>
      </c>
      <c r="I18" s="24"/>
    </row>
    <row r="19" ht="22.5" customHeight="1">
      <c r="A19" s="28" t="s">
        <v>32</v>
      </c>
      <c r="B19" s="49" t="s">
        <v>43</v>
      </c>
      <c r="C19" s="23" t="s">
        <v>44</v>
      </c>
      <c r="D19" s="24" t="s">
        <v>45</v>
      </c>
      <c r="E19" s="25" t="s">
        <v>46</v>
      </c>
      <c r="F19" s="26">
        <v>1.0</v>
      </c>
      <c r="G19" s="20">
        <v>150.0</v>
      </c>
      <c r="H19" s="27">
        <f t="shared" si="1"/>
        <v>150</v>
      </c>
      <c r="I19" s="24"/>
    </row>
    <row r="20" ht="22.5" customHeight="1">
      <c r="A20" s="28" t="s">
        <v>32</v>
      </c>
      <c r="B20" s="28" t="s">
        <v>43</v>
      </c>
      <c r="C20" s="23" t="s">
        <v>47</v>
      </c>
      <c r="D20" s="24" t="s">
        <v>48</v>
      </c>
      <c r="E20" s="25" t="s">
        <v>46</v>
      </c>
      <c r="F20" s="26">
        <v>1.0</v>
      </c>
      <c r="G20" s="20">
        <v>150.0</v>
      </c>
      <c r="H20" s="27">
        <f t="shared" si="1"/>
        <v>150</v>
      </c>
      <c r="I20" s="24" t="s">
        <v>49</v>
      </c>
    </row>
    <row r="21" ht="22.5" customHeight="1">
      <c r="A21" s="28" t="s">
        <v>32</v>
      </c>
      <c r="B21" s="28" t="s">
        <v>43</v>
      </c>
      <c r="C21" s="23" t="s">
        <v>50</v>
      </c>
      <c r="D21" s="32" t="s">
        <v>51</v>
      </c>
      <c r="E21" s="25" t="s">
        <v>52</v>
      </c>
      <c r="F21" s="26">
        <v>0.0</v>
      </c>
      <c r="G21" s="20">
        <v>150.0</v>
      </c>
      <c r="H21" s="27">
        <f t="shared" si="1"/>
        <v>0</v>
      </c>
      <c r="I21" s="24" t="s">
        <v>53</v>
      </c>
    </row>
    <row r="22" ht="22.5" customHeight="1">
      <c r="A22" s="28" t="s">
        <v>32</v>
      </c>
      <c r="B22" s="49" t="s">
        <v>54</v>
      </c>
      <c r="C22" s="23" t="s">
        <v>54</v>
      </c>
      <c r="D22" s="24" t="s">
        <v>55</v>
      </c>
      <c r="E22" s="25" t="s">
        <v>52</v>
      </c>
      <c r="F22" s="26">
        <v>0.0</v>
      </c>
      <c r="G22" s="20">
        <v>100.0</v>
      </c>
      <c r="H22" s="27">
        <f t="shared" si="1"/>
        <v>0</v>
      </c>
      <c r="I22" s="24"/>
    </row>
    <row r="23" ht="22.5" customHeight="1">
      <c r="A23" s="28" t="s">
        <v>32</v>
      </c>
      <c r="B23" s="28" t="s">
        <v>21</v>
      </c>
      <c r="C23" s="23" t="s">
        <v>21</v>
      </c>
      <c r="D23" s="24" t="s">
        <v>56</v>
      </c>
      <c r="E23" s="31"/>
      <c r="F23" s="26">
        <v>0.0</v>
      </c>
      <c r="G23" s="20">
        <v>100.0</v>
      </c>
      <c r="H23" s="27">
        <f t="shared" si="1"/>
        <v>0</v>
      </c>
      <c r="I23" s="24"/>
    </row>
    <row r="24" ht="22.5" customHeight="1">
      <c r="A24" s="28" t="s">
        <v>32</v>
      </c>
      <c r="B24" s="28" t="s">
        <v>57</v>
      </c>
      <c r="C24" s="23" t="s">
        <v>58</v>
      </c>
      <c r="D24" s="24" t="s">
        <v>59</v>
      </c>
      <c r="E24" s="25" t="s">
        <v>60</v>
      </c>
      <c r="F24" s="26">
        <v>0.0</v>
      </c>
      <c r="G24" s="20">
        <v>100.0</v>
      </c>
      <c r="H24" s="27">
        <f t="shared" si="1"/>
        <v>0</v>
      </c>
      <c r="I24" s="24"/>
    </row>
    <row r="25" ht="22.5" customHeight="1">
      <c r="A25" s="28" t="s">
        <v>32</v>
      </c>
      <c r="B25" s="49" t="s">
        <v>23</v>
      </c>
      <c r="C25" s="23" t="s">
        <v>24</v>
      </c>
      <c r="D25" s="24" t="s">
        <v>61</v>
      </c>
      <c r="E25" s="25" t="s">
        <v>26</v>
      </c>
      <c r="F25" s="26">
        <v>0.0</v>
      </c>
      <c r="G25" s="20">
        <v>100.0</v>
      </c>
      <c r="H25" s="27">
        <f t="shared" si="1"/>
        <v>0</v>
      </c>
      <c r="I25" s="24"/>
    </row>
    <row r="26" ht="96.75" customHeight="1">
      <c r="A26" s="28" t="s">
        <v>62</v>
      </c>
      <c r="B26" s="28" t="s">
        <v>16</v>
      </c>
      <c r="C26" s="23" t="s">
        <v>63</v>
      </c>
      <c r="D26" s="24" t="s">
        <v>64</v>
      </c>
      <c r="E26" s="31" t="s">
        <v>18</v>
      </c>
      <c r="F26" s="26">
        <v>0.0</v>
      </c>
      <c r="G26" s="20">
        <v>125.0</v>
      </c>
      <c r="H26" s="27">
        <f t="shared" si="1"/>
        <v>0</v>
      </c>
      <c r="I26" s="50" t="s">
        <v>65</v>
      </c>
    </row>
    <row r="27" ht="22.5" customHeight="1">
      <c r="A27" s="28" t="s">
        <v>62</v>
      </c>
      <c r="B27" s="28" t="s">
        <v>43</v>
      </c>
      <c r="C27" s="23" t="s">
        <v>66</v>
      </c>
      <c r="D27" s="24" t="s">
        <v>67</v>
      </c>
      <c r="E27" s="25" t="s">
        <v>68</v>
      </c>
      <c r="F27" s="26">
        <v>0.0</v>
      </c>
      <c r="G27" s="20">
        <v>150.0</v>
      </c>
      <c r="H27" s="27">
        <f t="shared" si="1"/>
        <v>0</v>
      </c>
      <c r="I27" s="24"/>
    </row>
    <row r="28" ht="67.5" customHeight="1">
      <c r="A28" s="28" t="s">
        <v>62</v>
      </c>
      <c r="B28" s="49" t="s">
        <v>43</v>
      </c>
      <c r="C28" s="23" t="s">
        <v>69</v>
      </c>
      <c r="D28" s="24" t="s">
        <v>70</v>
      </c>
      <c r="E28" s="25" t="s">
        <v>68</v>
      </c>
      <c r="F28" s="26">
        <v>0.0</v>
      </c>
      <c r="G28" s="20">
        <v>150.0</v>
      </c>
      <c r="H28" s="27">
        <f t="shared" si="1"/>
        <v>0</v>
      </c>
      <c r="I28" s="24" t="s">
        <v>71</v>
      </c>
    </row>
    <row r="29" ht="174.0" customHeight="1">
      <c r="A29" s="28" t="s">
        <v>62</v>
      </c>
      <c r="B29" s="28" t="s">
        <v>16</v>
      </c>
      <c r="C29" s="23" t="s">
        <v>72</v>
      </c>
      <c r="D29" s="24" t="s">
        <v>73</v>
      </c>
      <c r="E29" s="31" t="s">
        <v>18</v>
      </c>
      <c r="F29" s="26">
        <v>0.0</v>
      </c>
      <c r="G29" s="20">
        <v>125.0</v>
      </c>
      <c r="H29" s="27">
        <f t="shared" si="1"/>
        <v>0</v>
      </c>
      <c r="I29" s="32" t="s">
        <v>65</v>
      </c>
    </row>
    <row r="30" ht="99.0" customHeight="1">
      <c r="A30" s="28" t="s">
        <v>62</v>
      </c>
      <c r="B30" s="28" t="s">
        <v>16</v>
      </c>
      <c r="C30" s="23" t="s">
        <v>74</v>
      </c>
      <c r="D30" s="24" t="s">
        <v>75</v>
      </c>
      <c r="E30" s="25" t="s">
        <v>18</v>
      </c>
      <c r="F30" s="26">
        <v>0.0</v>
      </c>
      <c r="G30" s="20">
        <v>125.0</v>
      </c>
      <c r="H30" s="27">
        <f t="shared" si="1"/>
        <v>0</v>
      </c>
      <c r="I30" s="24"/>
    </row>
    <row r="31" ht="22.5" customHeight="1">
      <c r="A31" s="28" t="s">
        <v>62</v>
      </c>
      <c r="B31" s="49" t="s">
        <v>43</v>
      </c>
      <c r="C31" s="23" t="s">
        <v>76</v>
      </c>
      <c r="D31" s="24" t="s">
        <v>67</v>
      </c>
      <c r="E31" s="25" t="s">
        <v>68</v>
      </c>
      <c r="F31" s="26">
        <v>0.0</v>
      </c>
      <c r="G31" s="20">
        <v>150.0</v>
      </c>
      <c r="H31" s="27">
        <f t="shared" si="1"/>
        <v>0</v>
      </c>
      <c r="I31" s="24"/>
    </row>
    <row r="32" ht="22.5" customHeight="1">
      <c r="A32" s="28" t="s">
        <v>62</v>
      </c>
      <c r="B32" s="28" t="s">
        <v>43</v>
      </c>
      <c r="C32" s="23" t="s">
        <v>77</v>
      </c>
      <c r="D32" s="24" t="s">
        <v>78</v>
      </c>
      <c r="E32" s="31" t="s">
        <v>68</v>
      </c>
      <c r="F32" s="26">
        <v>0.0</v>
      </c>
      <c r="G32" s="20">
        <v>150.0</v>
      </c>
      <c r="H32" s="27">
        <f t="shared" si="1"/>
        <v>0</v>
      </c>
      <c r="I32" s="24"/>
    </row>
    <row r="33" ht="22.5" customHeight="1">
      <c r="A33" s="28" t="s">
        <v>62</v>
      </c>
      <c r="B33" s="28" t="s">
        <v>43</v>
      </c>
      <c r="C33" s="23" t="s">
        <v>79</v>
      </c>
      <c r="D33" s="24" t="s">
        <v>80</v>
      </c>
      <c r="E33" s="25" t="s">
        <v>68</v>
      </c>
      <c r="F33" s="26">
        <v>0.0</v>
      </c>
      <c r="G33" s="20">
        <v>150.0</v>
      </c>
      <c r="H33" s="27">
        <f t="shared" si="1"/>
        <v>0</v>
      </c>
      <c r="I33" s="24"/>
    </row>
    <row r="34" ht="171.75" customHeight="1">
      <c r="A34" s="28" t="s">
        <v>62</v>
      </c>
      <c r="B34" s="49" t="s">
        <v>16</v>
      </c>
      <c r="C34" s="23" t="s">
        <v>81</v>
      </c>
      <c r="D34" s="24" t="s">
        <v>82</v>
      </c>
      <c r="E34" s="25" t="s">
        <v>18</v>
      </c>
      <c r="F34" s="26">
        <v>0.0</v>
      </c>
      <c r="G34" s="20">
        <v>125.0</v>
      </c>
      <c r="H34" s="27">
        <f t="shared" si="1"/>
        <v>0</v>
      </c>
      <c r="I34" s="50" t="s">
        <v>65</v>
      </c>
    </row>
    <row r="35" ht="54.75" customHeight="1">
      <c r="A35" s="28" t="s">
        <v>62</v>
      </c>
      <c r="B35" s="28" t="s">
        <v>43</v>
      </c>
      <c r="C35" s="23" t="s">
        <v>83</v>
      </c>
      <c r="D35" s="32" t="s">
        <v>84</v>
      </c>
      <c r="E35" s="31" t="s">
        <v>68</v>
      </c>
      <c r="F35" s="26">
        <v>0.0</v>
      </c>
      <c r="G35" s="20">
        <v>150.0</v>
      </c>
      <c r="H35" s="27">
        <f t="shared" si="1"/>
        <v>0</v>
      </c>
      <c r="I35" s="24"/>
    </row>
    <row r="36" ht="22.5" customHeight="1">
      <c r="A36" s="28" t="s">
        <v>62</v>
      </c>
      <c r="B36" s="28" t="s">
        <v>43</v>
      </c>
      <c r="C36" s="23" t="s">
        <v>85</v>
      </c>
      <c r="D36" s="24" t="s">
        <v>86</v>
      </c>
      <c r="E36" s="25" t="s">
        <v>68</v>
      </c>
      <c r="F36" s="26">
        <v>0.0</v>
      </c>
      <c r="G36" s="20">
        <v>150.0</v>
      </c>
      <c r="H36" s="27">
        <f t="shared" si="1"/>
        <v>0</v>
      </c>
      <c r="I36" s="24"/>
    </row>
    <row r="37" ht="22.5" customHeight="1">
      <c r="A37" s="41" t="s">
        <v>30</v>
      </c>
      <c r="B37" s="43"/>
      <c r="C37" s="43"/>
      <c r="D37" s="42"/>
      <c r="E37" s="44"/>
      <c r="F37" s="45"/>
      <c r="G37" s="46"/>
      <c r="H37" s="47">
        <f>SUM(Scope_of_Work_2[Total])</f>
        <v>1850</v>
      </c>
      <c r="I37" s="42"/>
    </row>
  </sheetData>
  <customSheetViews>
    <customSheetView guid="{17EB35C3-CBC4-4E00-9431-2E08CD4715FB}" filter="1" showAutoFilter="1">
      <autoFilter ref="$A$13:$I$37"/>
    </customSheetView>
  </customSheetViews>
  <mergeCells count="5">
    <mergeCell ref="A1:G1"/>
    <mergeCell ref="A4:G4"/>
    <mergeCell ref="A7:G7"/>
    <mergeCell ref="A9:G9"/>
    <mergeCell ref="A10:G10"/>
  </mergeCells>
  <dataValidations>
    <dataValidation type="list" allowBlank="1" sqref="A14:A36">
      <formula1>"1. Audit ,2. Onboarding,3. Social Profile Setup,4. Ongoing Monthly,5. Monthly Expenses,6. Project Padding"</formula1>
    </dataValidation>
    <dataValidation type="list" allowBlank="1" sqref="E14:E36">
      <formula1>"Meg,Devon,Emily,Amy,Cassidy,Erin,Nick,Alli,Deb,HeyOrca,Getty,NextDoor,Meta"</formula1>
    </dataValidation>
    <dataValidation type="list" allowBlank="1" sqref="B14:B36">
      <formula1>"Social Media Management,Creative Design,Creative Direction,Software,Account Management,Production Managment,Marketing Coordinator,Formulating New Business"</formula1>
    </dataValidation>
  </dataValidations>
  <hyperlinks>
    <hyperlink r:id="rId1" ref="I26"/>
    <hyperlink r:id="rId2" ref="I34"/>
  </hyperlinks>
  <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0.75"/>
    <col customWidth="1" min="2" max="2" width="17.75"/>
    <col customWidth="1" min="3" max="3" width="30.0"/>
    <col customWidth="1" min="4" max="4" width="37.88"/>
    <col customWidth="1" min="5" max="5" width="19.5"/>
    <col customWidth="1" min="6" max="6" width="9.88"/>
    <col customWidth="1" min="8" max="8" width="17.5"/>
    <col customWidth="1" min="9" max="9" width="23.88"/>
  </cols>
  <sheetData>
    <row r="1">
      <c r="A1" s="1" t="s">
        <v>0</v>
      </c>
      <c r="H1" s="2"/>
      <c r="I1" s="2"/>
    </row>
    <row r="2">
      <c r="A2" s="3"/>
      <c r="B2" s="3"/>
      <c r="C2" s="3"/>
      <c r="D2" s="5"/>
      <c r="E2" s="5"/>
      <c r="F2" s="5"/>
      <c r="G2" s="2"/>
      <c r="H2" s="2"/>
      <c r="I2" s="2"/>
    </row>
    <row r="3">
      <c r="A3" s="6" t="s">
        <v>1</v>
      </c>
      <c r="B3" s="3"/>
      <c r="C3" s="3"/>
      <c r="D3" s="5"/>
      <c r="E3" s="5"/>
      <c r="F3" s="5"/>
      <c r="G3" s="2"/>
      <c r="H3" s="2"/>
      <c r="I3" s="2"/>
    </row>
    <row r="4">
      <c r="A4" s="7" t="s">
        <v>2</v>
      </c>
      <c r="H4" s="2"/>
      <c r="I4" s="2"/>
    </row>
    <row r="5">
      <c r="A5" s="3"/>
      <c r="B5" s="3"/>
      <c r="C5" s="3"/>
      <c r="D5" s="5"/>
      <c r="E5" s="5"/>
      <c r="F5" s="5"/>
      <c r="G5" s="2"/>
      <c r="H5" s="2"/>
      <c r="I5" s="2"/>
    </row>
    <row r="6">
      <c r="A6" s="6" t="s">
        <v>3</v>
      </c>
      <c r="B6" s="3"/>
      <c r="C6" s="3"/>
      <c r="D6" s="5"/>
      <c r="E6" s="5"/>
      <c r="F6" s="5"/>
      <c r="G6" s="2"/>
      <c r="H6" s="2"/>
      <c r="I6" s="2"/>
    </row>
    <row r="7">
      <c r="A7" s="48" t="s">
        <v>31</v>
      </c>
      <c r="H7" s="2"/>
      <c r="I7" s="2"/>
    </row>
    <row r="8">
      <c r="A8" s="3"/>
      <c r="B8" s="3"/>
      <c r="C8" s="3"/>
      <c r="D8" s="5"/>
      <c r="E8" s="5"/>
      <c r="F8" s="2"/>
      <c r="G8" s="2"/>
      <c r="H8" s="2"/>
      <c r="I8" s="2"/>
    </row>
    <row r="9">
      <c r="A9" s="6" t="s">
        <v>5</v>
      </c>
      <c r="H9" s="2"/>
      <c r="I9" s="2"/>
    </row>
    <row r="10">
      <c r="A10" s="8">
        <v>46023.0</v>
      </c>
      <c r="H10" s="2"/>
      <c r="I10" s="2"/>
    </row>
    <row r="11">
      <c r="A11" s="9"/>
      <c r="B11" s="9"/>
      <c r="C11" s="9"/>
      <c r="D11" s="11"/>
      <c r="E11" s="12"/>
      <c r="F11" s="13"/>
      <c r="G11" s="14"/>
      <c r="H11" s="14"/>
      <c r="I11" s="11"/>
    </row>
    <row r="12">
      <c r="A12" s="9"/>
      <c r="B12" s="9"/>
      <c r="C12" s="9"/>
      <c r="D12" s="11"/>
      <c r="E12" s="12"/>
      <c r="F12" s="13"/>
      <c r="G12" s="14"/>
      <c r="H12" s="14"/>
      <c r="I12" s="11"/>
    </row>
    <row r="13" ht="22.5" customHeight="1">
      <c r="A13" s="15" t="s">
        <v>6</v>
      </c>
      <c r="B13" s="15" t="s">
        <v>7</v>
      </c>
      <c r="C13" s="15" t="s">
        <v>8</v>
      </c>
      <c r="D13" s="17" t="s">
        <v>9</v>
      </c>
      <c r="E13" s="18" t="s">
        <v>10</v>
      </c>
      <c r="F13" s="19" t="s">
        <v>11</v>
      </c>
      <c r="G13" s="20" t="s">
        <v>12</v>
      </c>
      <c r="H13" s="20" t="s">
        <v>13</v>
      </c>
      <c r="I13" s="17" t="s">
        <v>14</v>
      </c>
    </row>
    <row r="14" ht="22.5" customHeight="1">
      <c r="A14" s="28" t="s">
        <v>87</v>
      </c>
      <c r="B14" s="49" t="s">
        <v>16</v>
      </c>
      <c r="C14" s="23" t="s">
        <v>88</v>
      </c>
      <c r="D14" s="32" t="s">
        <v>89</v>
      </c>
      <c r="E14" s="25" t="s">
        <v>18</v>
      </c>
      <c r="F14" s="26">
        <v>0.0</v>
      </c>
      <c r="G14" s="20">
        <v>125.0</v>
      </c>
      <c r="H14" s="27">
        <f t="shared" ref="H14:H27" si="1">F14*G14</f>
        <v>0</v>
      </c>
      <c r="I14" s="24"/>
    </row>
    <row r="15" ht="22.5" customHeight="1">
      <c r="A15" s="28" t="s">
        <v>87</v>
      </c>
      <c r="B15" s="28" t="s">
        <v>16</v>
      </c>
      <c r="C15" s="23" t="s">
        <v>90</v>
      </c>
      <c r="D15" s="32" t="s">
        <v>91</v>
      </c>
      <c r="E15" s="31" t="s">
        <v>18</v>
      </c>
      <c r="F15" s="26">
        <v>0.0</v>
      </c>
      <c r="G15" s="20">
        <v>125.0</v>
      </c>
      <c r="H15" s="27">
        <f t="shared" si="1"/>
        <v>0</v>
      </c>
      <c r="I15" s="24"/>
    </row>
    <row r="16" ht="22.5" customHeight="1">
      <c r="A16" s="28" t="s">
        <v>87</v>
      </c>
      <c r="B16" s="28" t="s">
        <v>16</v>
      </c>
      <c r="C16" s="23" t="s">
        <v>92</v>
      </c>
      <c r="D16" s="24" t="s">
        <v>93</v>
      </c>
      <c r="E16" s="25" t="s">
        <v>18</v>
      </c>
      <c r="F16" s="26">
        <v>0.0</v>
      </c>
      <c r="G16" s="20">
        <v>125.0</v>
      </c>
      <c r="H16" s="27">
        <f t="shared" si="1"/>
        <v>0</v>
      </c>
      <c r="I16" s="24"/>
    </row>
    <row r="17" ht="22.5" customHeight="1">
      <c r="A17" s="28" t="s">
        <v>87</v>
      </c>
      <c r="B17" s="49" t="s">
        <v>16</v>
      </c>
      <c r="C17" s="23" t="s">
        <v>94</v>
      </c>
      <c r="D17" s="32" t="s">
        <v>95</v>
      </c>
      <c r="E17" s="25" t="s">
        <v>18</v>
      </c>
      <c r="F17" s="26">
        <v>0.0</v>
      </c>
      <c r="G17" s="20">
        <v>125.0</v>
      </c>
      <c r="H17" s="27">
        <f t="shared" si="1"/>
        <v>0</v>
      </c>
      <c r="I17" s="24"/>
    </row>
    <row r="18" ht="22.5" customHeight="1">
      <c r="A18" s="28" t="s">
        <v>87</v>
      </c>
      <c r="B18" s="28" t="s">
        <v>43</v>
      </c>
      <c r="C18" s="23" t="s">
        <v>96</v>
      </c>
      <c r="D18" s="24" t="s">
        <v>97</v>
      </c>
      <c r="E18" s="25" t="s">
        <v>46</v>
      </c>
      <c r="F18" s="26">
        <v>0.0</v>
      </c>
      <c r="G18" s="20">
        <v>150.0</v>
      </c>
      <c r="H18" s="27">
        <f t="shared" si="1"/>
        <v>0</v>
      </c>
      <c r="I18" s="24" t="s">
        <v>98</v>
      </c>
    </row>
    <row r="19" ht="22.5" customHeight="1">
      <c r="A19" s="51" t="s">
        <v>87</v>
      </c>
      <c r="B19" s="52" t="s">
        <v>43</v>
      </c>
      <c r="C19" s="53" t="s">
        <v>99</v>
      </c>
      <c r="D19" s="54" t="s">
        <v>100</v>
      </c>
      <c r="E19" s="55"/>
      <c r="F19" s="56">
        <v>0.0</v>
      </c>
      <c r="G19" s="57">
        <v>150.0</v>
      </c>
      <c r="H19" s="57">
        <f t="shared" si="1"/>
        <v>0</v>
      </c>
      <c r="I19" s="58"/>
    </row>
    <row r="20" ht="22.5" customHeight="1">
      <c r="A20" s="28" t="s">
        <v>87</v>
      </c>
      <c r="B20" s="28" t="s">
        <v>43</v>
      </c>
      <c r="C20" s="23" t="s">
        <v>101</v>
      </c>
      <c r="D20" s="24" t="s">
        <v>102</v>
      </c>
      <c r="E20" s="25" t="s">
        <v>46</v>
      </c>
      <c r="F20" s="26">
        <v>0.0</v>
      </c>
      <c r="G20" s="20">
        <v>150.0</v>
      </c>
      <c r="H20" s="27">
        <f t="shared" si="1"/>
        <v>0</v>
      </c>
      <c r="I20" s="24"/>
    </row>
    <row r="21" ht="22.5" customHeight="1">
      <c r="A21" s="28" t="s">
        <v>87</v>
      </c>
      <c r="B21" s="49" t="s">
        <v>16</v>
      </c>
      <c r="C21" s="23" t="s">
        <v>103</v>
      </c>
      <c r="D21" s="24" t="s">
        <v>104</v>
      </c>
      <c r="E21" s="25" t="s">
        <v>18</v>
      </c>
      <c r="F21" s="26">
        <v>4.0</v>
      </c>
      <c r="G21" s="20">
        <v>125.0</v>
      </c>
      <c r="H21" s="27">
        <f t="shared" si="1"/>
        <v>500</v>
      </c>
      <c r="I21" s="24"/>
    </row>
    <row r="22" ht="22.5" customHeight="1">
      <c r="A22" s="28" t="s">
        <v>87</v>
      </c>
      <c r="B22" s="28" t="s">
        <v>21</v>
      </c>
      <c r="C22" s="23" t="s">
        <v>105</v>
      </c>
      <c r="D22" s="24" t="s">
        <v>106</v>
      </c>
      <c r="E22" s="31"/>
      <c r="F22" s="26">
        <v>0.0</v>
      </c>
      <c r="G22" s="20">
        <v>100.0</v>
      </c>
      <c r="H22" s="27">
        <f t="shared" si="1"/>
        <v>0</v>
      </c>
      <c r="I22" s="24"/>
    </row>
    <row r="23" ht="22.5" customHeight="1">
      <c r="A23" s="28" t="s">
        <v>87</v>
      </c>
      <c r="B23" s="49" t="s">
        <v>21</v>
      </c>
      <c r="C23" s="23" t="s">
        <v>107</v>
      </c>
      <c r="D23" s="24" t="s">
        <v>108</v>
      </c>
      <c r="E23" s="25"/>
      <c r="F23" s="26">
        <v>0.0</v>
      </c>
      <c r="G23" s="20">
        <v>100.0</v>
      </c>
      <c r="H23" s="27">
        <f t="shared" si="1"/>
        <v>0</v>
      </c>
      <c r="I23" s="24"/>
    </row>
    <row r="24" ht="22.5" customHeight="1">
      <c r="A24" s="28" t="s">
        <v>87</v>
      </c>
      <c r="B24" s="28" t="s">
        <v>21</v>
      </c>
      <c r="C24" s="23" t="s">
        <v>109</v>
      </c>
      <c r="D24" s="24" t="s">
        <v>110</v>
      </c>
      <c r="E24" s="31"/>
      <c r="F24" s="26">
        <v>2.0</v>
      </c>
      <c r="G24" s="20">
        <v>100.0</v>
      </c>
      <c r="H24" s="27">
        <f t="shared" si="1"/>
        <v>200</v>
      </c>
      <c r="I24" s="24" t="s">
        <v>111</v>
      </c>
    </row>
    <row r="25" ht="22.5" customHeight="1">
      <c r="A25" s="28" t="s">
        <v>87</v>
      </c>
      <c r="B25" s="28" t="s">
        <v>21</v>
      </c>
      <c r="C25" s="23" t="s">
        <v>112</v>
      </c>
      <c r="D25" s="24" t="s">
        <v>113</v>
      </c>
      <c r="E25" s="25"/>
      <c r="F25" s="26">
        <v>1.0</v>
      </c>
      <c r="G25" s="20">
        <v>100.0</v>
      </c>
      <c r="H25" s="27">
        <f t="shared" si="1"/>
        <v>100</v>
      </c>
      <c r="I25" s="24" t="s">
        <v>111</v>
      </c>
    </row>
    <row r="26" ht="22.5" customHeight="1">
      <c r="A26" s="28" t="s">
        <v>87</v>
      </c>
      <c r="B26" s="49" t="s">
        <v>23</v>
      </c>
      <c r="C26" s="23" t="s">
        <v>24</v>
      </c>
      <c r="D26" s="24" t="s">
        <v>114</v>
      </c>
      <c r="E26" s="25" t="s">
        <v>26</v>
      </c>
      <c r="F26" s="26">
        <v>0.0</v>
      </c>
      <c r="G26" s="20">
        <v>100.0</v>
      </c>
      <c r="H26" s="27">
        <f t="shared" si="1"/>
        <v>0</v>
      </c>
      <c r="I26" s="24"/>
    </row>
    <row r="27" ht="22.5" customHeight="1">
      <c r="A27" s="28" t="s">
        <v>87</v>
      </c>
      <c r="B27" s="49" t="s">
        <v>54</v>
      </c>
      <c r="C27" s="23" t="s">
        <v>54</v>
      </c>
      <c r="D27" s="24" t="s">
        <v>115</v>
      </c>
      <c r="E27" s="25" t="s">
        <v>52</v>
      </c>
      <c r="F27" s="26">
        <v>0.0</v>
      </c>
      <c r="G27" s="20">
        <v>100.0</v>
      </c>
      <c r="H27" s="27">
        <f t="shared" si="1"/>
        <v>0</v>
      </c>
      <c r="I27" s="24"/>
    </row>
    <row r="28" ht="22.5" customHeight="1">
      <c r="A28" s="28" t="s">
        <v>116</v>
      </c>
      <c r="B28" s="28" t="s">
        <v>117</v>
      </c>
      <c r="C28" s="23" t="s">
        <v>118</v>
      </c>
      <c r="D28" s="24" t="s">
        <v>119</v>
      </c>
      <c r="E28" s="31" t="s">
        <v>120</v>
      </c>
      <c r="F28" s="26" t="s">
        <v>121</v>
      </c>
      <c r="G28" s="20" t="s">
        <v>121</v>
      </c>
      <c r="H28" s="27">
        <v>25.0</v>
      </c>
      <c r="I28" s="24" t="s">
        <v>122</v>
      </c>
    </row>
    <row r="29" ht="22.5" customHeight="1">
      <c r="A29" s="28" t="s">
        <v>116</v>
      </c>
      <c r="B29" s="28" t="s">
        <v>117</v>
      </c>
      <c r="C29" s="23" t="s">
        <v>123</v>
      </c>
      <c r="D29" s="24" t="s">
        <v>124</v>
      </c>
      <c r="E29" s="25" t="s">
        <v>125</v>
      </c>
      <c r="F29" s="26" t="s">
        <v>121</v>
      </c>
      <c r="G29" s="20">
        <v>59.0</v>
      </c>
      <c r="H29" s="27">
        <f>G29*1.4</f>
        <v>82.6</v>
      </c>
      <c r="I29" s="24" t="s">
        <v>126</v>
      </c>
    </row>
    <row r="30" ht="22.5" customHeight="1">
      <c r="A30" s="28" t="s">
        <v>116</v>
      </c>
      <c r="B30" s="49" t="s">
        <v>117</v>
      </c>
      <c r="C30" s="23" t="s">
        <v>127</v>
      </c>
      <c r="D30" s="24" t="s">
        <v>128</v>
      </c>
      <c r="E30" s="25" t="s">
        <v>129</v>
      </c>
      <c r="F30" s="26" t="s">
        <v>121</v>
      </c>
      <c r="G30" s="20">
        <v>0.0</v>
      </c>
      <c r="H30" s="27">
        <f t="shared" ref="H30:H31" si="2">G30*1.35</f>
        <v>0</v>
      </c>
      <c r="I30" s="24" t="s">
        <v>130</v>
      </c>
    </row>
    <row r="31" ht="22.5" customHeight="1">
      <c r="A31" s="51" t="s">
        <v>116</v>
      </c>
      <c r="B31" s="59" t="s">
        <v>117</v>
      </c>
      <c r="C31" s="53" t="s">
        <v>131</v>
      </c>
      <c r="D31" s="60" t="s">
        <v>132</v>
      </c>
      <c r="E31" s="61" t="s">
        <v>133</v>
      </c>
      <c r="F31" s="56" t="s">
        <v>121</v>
      </c>
      <c r="G31" s="57">
        <v>0.0</v>
      </c>
      <c r="H31" s="57">
        <f t="shared" si="2"/>
        <v>0</v>
      </c>
      <c r="I31" s="62" t="s">
        <v>130</v>
      </c>
    </row>
    <row r="32" ht="22.5" customHeight="1">
      <c r="A32" s="28" t="s">
        <v>134</v>
      </c>
      <c r="B32" s="28" t="s">
        <v>29</v>
      </c>
      <c r="C32" s="23" t="s">
        <v>29</v>
      </c>
      <c r="D32" s="24" t="s">
        <v>135</v>
      </c>
      <c r="E32" s="31"/>
      <c r="F32" s="26">
        <v>0.0</v>
      </c>
      <c r="G32" s="20">
        <v>100.0</v>
      </c>
      <c r="H32" s="27">
        <f>G32*F32</f>
        <v>0</v>
      </c>
      <c r="I32" s="24"/>
    </row>
    <row r="33" ht="22.5" customHeight="1">
      <c r="A33" s="41" t="s">
        <v>30</v>
      </c>
      <c r="B33" s="43"/>
      <c r="C33" s="43"/>
      <c r="D33" s="42"/>
      <c r="E33" s="44"/>
      <c r="F33" s="45"/>
      <c r="G33" s="46"/>
      <c r="H33" s="47">
        <f>SUM(Scope_of_Work_3[Total])</f>
        <v>907.6</v>
      </c>
      <c r="I33" s="42"/>
    </row>
  </sheetData>
  <customSheetViews>
    <customSheetView guid="{17EB35C3-CBC4-4E00-9431-2E08CD4715FB}" filter="1" showAutoFilter="1">
      <autoFilter ref="$A$13:$I$33"/>
    </customSheetView>
  </customSheetViews>
  <mergeCells count="5">
    <mergeCell ref="A1:G1"/>
    <mergeCell ref="A4:G4"/>
    <mergeCell ref="A7:G7"/>
    <mergeCell ref="A9:G9"/>
    <mergeCell ref="A10:G10"/>
  </mergeCells>
  <dataValidations>
    <dataValidation type="list" allowBlank="1" sqref="A14:A32">
      <formula1>"1. Audit ,2. Onboarding,3. Social Profile Setup,4. Ongoing Monthly,5. Monthly Expenses,6. Project Padding"</formula1>
    </dataValidation>
    <dataValidation type="list" allowBlank="1" sqref="E14:E32">
      <formula1>"Meg,Devon,Emily,Amy,Cassidy,Erin,Nick,Alli,Deb,HeyOrca,Getty,NextDoor,Meta"</formula1>
    </dataValidation>
    <dataValidation type="list" allowBlank="1" sqref="B14:B32">
      <formula1>"Social Media Management,Creative Design,Creative Direction,Software,Account Management,Production Managment,Marketing Coordinator,Formulating New Business"</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4.0"/>
    <col customWidth="1" min="2" max="2" width="25.5"/>
    <col customWidth="1" min="3" max="3" width="35.25"/>
    <col customWidth="1" min="4" max="4" width="13.63"/>
    <col customWidth="1" min="5" max="5" width="14.0"/>
    <col customWidth="1" min="6" max="6" width="12.75"/>
    <col customWidth="1" min="7" max="7" width="13.13"/>
  </cols>
  <sheetData>
    <row r="1">
      <c r="A1" s="63" t="s">
        <v>0</v>
      </c>
      <c r="G1" s="64"/>
    </row>
    <row r="2">
      <c r="A2" s="65"/>
      <c r="B2" s="66"/>
      <c r="C2" s="66"/>
      <c r="D2" s="66"/>
      <c r="E2" s="67"/>
      <c r="F2" s="67"/>
      <c r="G2" s="64"/>
    </row>
    <row r="3">
      <c r="A3" s="68" t="s">
        <v>1</v>
      </c>
      <c r="B3" s="66"/>
      <c r="C3" s="65"/>
      <c r="D3" s="66"/>
      <c r="E3" s="67"/>
      <c r="F3" s="67"/>
      <c r="G3" s="64"/>
    </row>
    <row r="4">
      <c r="A4" s="69" t="s">
        <v>136</v>
      </c>
      <c r="B4" s="66"/>
      <c r="C4" s="70"/>
      <c r="D4" s="66"/>
      <c r="E4" s="67"/>
      <c r="F4" s="67"/>
      <c r="G4" s="64"/>
    </row>
    <row r="5">
      <c r="A5" s="66"/>
      <c r="B5" s="66"/>
      <c r="C5" s="66"/>
      <c r="D5" s="66"/>
      <c r="E5" s="67"/>
      <c r="F5" s="67"/>
      <c r="G5" s="64"/>
    </row>
    <row r="6">
      <c r="A6" s="68" t="s">
        <v>3</v>
      </c>
      <c r="B6" s="66"/>
      <c r="C6" s="65"/>
      <c r="D6" s="65"/>
      <c r="E6" s="71"/>
      <c r="F6" s="67"/>
      <c r="G6" s="64"/>
    </row>
    <row r="7">
      <c r="A7" s="72" t="s">
        <v>136</v>
      </c>
      <c r="B7" s="66"/>
      <c r="C7" s="65"/>
      <c r="D7" s="65"/>
      <c r="E7" s="73"/>
      <c r="F7" s="67"/>
      <c r="G7" s="64"/>
    </row>
    <row r="8">
      <c r="A8" s="66"/>
      <c r="B8" s="66"/>
      <c r="C8" s="65"/>
      <c r="D8" s="65"/>
      <c r="E8" s="73"/>
      <c r="F8" s="67"/>
      <c r="G8" s="64"/>
    </row>
    <row r="9">
      <c r="A9" s="68" t="s">
        <v>5</v>
      </c>
      <c r="B9" s="65"/>
      <c r="C9" s="65"/>
      <c r="D9" s="65"/>
      <c r="E9" s="71"/>
      <c r="F9" s="71"/>
      <c r="G9" s="64"/>
    </row>
    <row r="10">
      <c r="A10" s="72" t="s">
        <v>136</v>
      </c>
      <c r="B10" s="65"/>
      <c r="C10" s="65"/>
      <c r="D10" s="65"/>
      <c r="E10" s="71"/>
      <c r="F10" s="71"/>
      <c r="G10" s="64"/>
    </row>
    <row r="11">
      <c r="A11" s="65"/>
      <c r="B11" s="65"/>
      <c r="C11" s="65"/>
      <c r="D11" s="65"/>
      <c r="E11" s="71"/>
      <c r="F11" s="71"/>
      <c r="G11" s="71"/>
    </row>
    <row r="12">
      <c r="A12" s="74"/>
      <c r="B12" s="74"/>
      <c r="C12" s="75"/>
      <c r="D12" s="75"/>
      <c r="E12" s="76"/>
      <c r="F12" s="76"/>
      <c r="G12" s="76"/>
    </row>
    <row r="13" ht="36.75" customHeight="1">
      <c r="A13" s="77" t="s">
        <v>137</v>
      </c>
      <c r="B13" s="77" t="s">
        <v>8</v>
      </c>
      <c r="C13" s="77" t="s">
        <v>9</v>
      </c>
      <c r="D13" s="78" t="s">
        <v>10</v>
      </c>
      <c r="E13" s="78" t="s">
        <v>11</v>
      </c>
      <c r="F13" s="78" t="s">
        <v>12</v>
      </c>
      <c r="G13" s="78" t="s">
        <v>13</v>
      </c>
    </row>
    <row r="14" ht="22.5" customHeight="1">
      <c r="A14" s="79" t="s">
        <v>31</v>
      </c>
      <c r="B14" s="80" t="s">
        <v>36</v>
      </c>
      <c r="C14" s="80" t="s">
        <v>37</v>
      </c>
      <c r="D14" s="81" t="s">
        <v>18</v>
      </c>
      <c r="E14" s="82" t="s">
        <v>121</v>
      </c>
      <c r="F14" s="83">
        <v>175.0</v>
      </c>
      <c r="G14" s="84">
        <v>775.0</v>
      </c>
    </row>
    <row r="15" ht="22.5" customHeight="1">
      <c r="A15" s="85" t="s">
        <v>43</v>
      </c>
      <c r="B15" s="86" t="s">
        <v>44</v>
      </c>
      <c r="C15" s="86" t="s">
        <v>138</v>
      </c>
      <c r="D15" s="87"/>
      <c r="E15" s="82">
        <v>1.0</v>
      </c>
      <c r="F15" s="83">
        <v>150.0</v>
      </c>
      <c r="G15" s="83">
        <f t="shared" ref="G15:G18" si="1">E15*F15</f>
        <v>150</v>
      </c>
    </row>
    <row r="16" ht="22.5" customHeight="1">
      <c r="A16" s="85" t="s">
        <v>43</v>
      </c>
      <c r="B16" s="86" t="s">
        <v>139</v>
      </c>
      <c r="C16" s="86" t="s">
        <v>140</v>
      </c>
      <c r="D16" s="87"/>
      <c r="E16" s="82">
        <v>1.0</v>
      </c>
      <c r="F16" s="83">
        <v>150.0</v>
      </c>
      <c r="G16" s="83">
        <f t="shared" si="1"/>
        <v>150</v>
      </c>
    </row>
    <row r="17" ht="22.5" customHeight="1">
      <c r="A17" s="88" t="s">
        <v>21</v>
      </c>
      <c r="B17" s="89" t="s">
        <v>21</v>
      </c>
      <c r="C17" s="90" t="s">
        <v>28</v>
      </c>
      <c r="D17" s="87"/>
      <c r="E17" s="82">
        <v>1.0</v>
      </c>
      <c r="F17" s="83">
        <v>100.0</v>
      </c>
      <c r="G17" s="83">
        <f t="shared" si="1"/>
        <v>100</v>
      </c>
    </row>
    <row r="18" ht="22.5" customHeight="1">
      <c r="A18" s="88" t="s">
        <v>141</v>
      </c>
      <c r="B18" s="89" t="s">
        <v>141</v>
      </c>
      <c r="C18" s="90" t="s">
        <v>25</v>
      </c>
      <c r="D18" s="87"/>
      <c r="E18" s="82">
        <v>1.0</v>
      </c>
      <c r="F18" s="83">
        <v>100.0</v>
      </c>
      <c r="G18" s="83">
        <f t="shared" si="1"/>
        <v>100</v>
      </c>
    </row>
    <row r="19" ht="22.5" customHeight="1">
      <c r="A19" s="88"/>
      <c r="B19" s="88" t="s">
        <v>142</v>
      </c>
      <c r="C19" s="91"/>
      <c r="D19" s="91"/>
      <c r="E19" s="92"/>
      <c r="F19" s="92"/>
      <c r="G19" s="93">
        <f>sum(Setup_Costs[Total])</f>
        <v>1275</v>
      </c>
    </row>
    <row r="20">
      <c r="A20" s="11"/>
      <c r="B20" s="11"/>
      <c r="C20" s="94"/>
      <c r="D20" s="94"/>
      <c r="E20" s="95"/>
      <c r="F20" s="95"/>
      <c r="G20" s="95"/>
    </row>
    <row r="21">
      <c r="A21" s="11"/>
      <c r="B21" s="11"/>
      <c r="C21" s="94"/>
      <c r="D21" s="94"/>
      <c r="E21" s="95"/>
      <c r="F21" s="95"/>
      <c r="G21" s="95"/>
    </row>
    <row r="22">
      <c r="A22" s="96"/>
      <c r="B22" s="96"/>
      <c r="C22" s="97"/>
      <c r="D22" s="97"/>
      <c r="E22" s="98"/>
      <c r="F22" s="98"/>
      <c r="G22" s="98"/>
    </row>
    <row r="23" ht="36.75" customHeight="1">
      <c r="A23" s="77" t="s">
        <v>137</v>
      </c>
      <c r="B23" s="77" t="s">
        <v>8</v>
      </c>
      <c r="C23" s="99" t="s">
        <v>9</v>
      </c>
      <c r="D23" s="100" t="s">
        <v>10</v>
      </c>
      <c r="E23" s="100" t="s">
        <v>11</v>
      </c>
      <c r="F23" s="100" t="s">
        <v>12</v>
      </c>
      <c r="G23" s="100" t="s">
        <v>13</v>
      </c>
    </row>
    <row r="24" ht="22.5" customHeight="1">
      <c r="A24" s="79" t="s">
        <v>31</v>
      </c>
      <c r="B24" s="80" t="s">
        <v>16</v>
      </c>
      <c r="C24" s="80" t="s">
        <v>88</v>
      </c>
      <c r="D24" s="101" t="s">
        <v>18</v>
      </c>
      <c r="E24" s="102">
        <v>12.0</v>
      </c>
      <c r="F24" s="103">
        <v>125.0</v>
      </c>
      <c r="G24" s="103">
        <f t="shared" ref="G24:G25" si="2">E24*F24</f>
        <v>1500</v>
      </c>
    </row>
    <row r="25" ht="22.5" customHeight="1">
      <c r="A25" s="79" t="s">
        <v>31</v>
      </c>
      <c r="B25" s="80" t="s">
        <v>103</v>
      </c>
      <c r="C25" s="80" t="s">
        <v>136</v>
      </c>
      <c r="D25" s="104"/>
      <c r="E25" s="102">
        <v>4.0</v>
      </c>
      <c r="F25" s="103">
        <v>125.0</v>
      </c>
      <c r="G25" s="103">
        <f t="shared" si="2"/>
        <v>500</v>
      </c>
    </row>
    <row r="26" ht="22.5" customHeight="1">
      <c r="A26" s="79" t="s">
        <v>143</v>
      </c>
      <c r="B26" s="80" t="s">
        <v>125</v>
      </c>
      <c r="C26" s="80" t="s">
        <v>144</v>
      </c>
      <c r="D26" s="104"/>
      <c r="E26" s="102"/>
      <c r="F26" s="103">
        <v>59.0</v>
      </c>
      <c r="G26" s="103">
        <v>82.6</v>
      </c>
    </row>
    <row r="27" ht="22.5" customHeight="1">
      <c r="A27" s="79" t="s">
        <v>43</v>
      </c>
      <c r="B27" s="80" t="s">
        <v>145</v>
      </c>
      <c r="C27" s="80"/>
      <c r="D27" s="104"/>
      <c r="E27" s="102">
        <v>0.0</v>
      </c>
      <c r="F27" s="103">
        <v>150.0</v>
      </c>
      <c r="G27" s="103">
        <f t="shared" ref="G27:G30" si="3">E27*F27</f>
        <v>0</v>
      </c>
    </row>
    <row r="28" ht="22.5" customHeight="1">
      <c r="A28" s="79" t="s">
        <v>54</v>
      </c>
      <c r="B28" s="80" t="s">
        <v>54</v>
      </c>
      <c r="C28" s="80" t="s">
        <v>146</v>
      </c>
      <c r="D28" s="104"/>
      <c r="E28" s="102"/>
      <c r="F28" s="103"/>
      <c r="G28" s="103">
        <f t="shared" si="3"/>
        <v>0</v>
      </c>
    </row>
    <row r="29" ht="22.5" customHeight="1">
      <c r="A29" s="79" t="s">
        <v>21</v>
      </c>
      <c r="B29" s="80" t="s">
        <v>21</v>
      </c>
      <c r="C29" s="80" t="s">
        <v>28</v>
      </c>
      <c r="D29" s="104"/>
      <c r="E29" s="102">
        <v>0.0</v>
      </c>
      <c r="F29" s="103">
        <v>100.0</v>
      </c>
      <c r="G29" s="103">
        <f t="shared" si="3"/>
        <v>0</v>
      </c>
    </row>
    <row r="30" ht="22.5" customHeight="1">
      <c r="A30" s="79" t="s">
        <v>141</v>
      </c>
      <c r="B30" s="80" t="s">
        <v>141</v>
      </c>
      <c r="C30" s="80" t="s">
        <v>25</v>
      </c>
      <c r="D30" s="104"/>
      <c r="E30" s="102">
        <v>0.0</v>
      </c>
      <c r="F30" s="103">
        <v>100.0</v>
      </c>
      <c r="G30" s="103">
        <f t="shared" si="3"/>
        <v>0</v>
      </c>
    </row>
    <row r="31" ht="22.5" customHeight="1">
      <c r="A31" s="85"/>
      <c r="B31" s="85" t="s">
        <v>142</v>
      </c>
      <c r="C31" s="105"/>
      <c r="D31" s="105"/>
      <c r="E31" s="106"/>
      <c r="F31" s="106"/>
      <c r="G31" s="84">
        <f>SUM(Monthly_Ongoing[Total])</f>
        <v>2082.6</v>
      </c>
    </row>
    <row r="32">
      <c r="A32" s="107"/>
      <c r="B32" s="107"/>
      <c r="C32" s="107"/>
      <c r="D32" s="108"/>
      <c r="E32" s="108"/>
      <c r="F32" s="108"/>
      <c r="G32" s="108"/>
    </row>
    <row r="33">
      <c r="A33" s="109" t="s">
        <v>147</v>
      </c>
      <c r="G33" s="109"/>
    </row>
    <row r="34">
      <c r="A34" s="110" t="s">
        <v>136</v>
      </c>
      <c r="G34" s="110"/>
    </row>
    <row r="35">
      <c r="A35" s="111"/>
      <c r="G35" s="111"/>
    </row>
    <row r="36">
      <c r="A36" s="112"/>
      <c r="G36" s="112"/>
    </row>
    <row r="37">
      <c r="A37" s="107"/>
      <c r="B37" s="107"/>
      <c r="C37" s="107"/>
      <c r="D37" s="107"/>
      <c r="E37" s="108"/>
      <c r="F37" s="108"/>
      <c r="G37" s="108"/>
    </row>
    <row r="38">
      <c r="A38" s="107"/>
      <c r="B38" s="107"/>
      <c r="C38" s="107"/>
      <c r="D38" s="107"/>
      <c r="E38" s="108"/>
      <c r="F38" s="108"/>
      <c r="G38" s="108"/>
    </row>
    <row r="39">
      <c r="A39" s="107"/>
      <c r="B39" s="107"/>
      <c r="C39" s="107"/>
      <c r="D39" s="107"/>
      <c r="E39" s="108"/>
      <c r="F39" s="108"/>
      <c r="G39" s="108"/>
    </row>
    <row r="40">
      <c r="A40" s="107"/>
      <c r="B40" s="107"/>
      <c r="C40" s="107"/>
      <c r="D40" s="107"/>
      <c r="E40" s="108"/>
      <c r="F40" s="108"/>
      <c r="G40" s="108"/>
    </row>
    <row r="41">
      <c r="A41" s="107"/>
      <c r="B41" s="107"/>
      <c r="C41" s="107"/>
      <c r="D41" s="107"/>
      <c r="E41" s="108"/>
      <c r="F41" s="108"/>
      <c r="G41" s="108"/>
    </row>
    <row r="42">
      <c r="A42" s="107"/>
      <c r="B42" s="107"/>
      <c r="C42" s="107"/>
      <c r="D42" s="107"/>
      <c r="E42" s="108"/>
      <c r="F42" s="108"/>
      <c r="G42" s="108"/>
    </row>
  </sheetData>
  <mergeCells count="5">
    <mergeCell ref="A1:F1"/>
    <mergeCell ref="A33:F33"/>
    <mergeCell ref="A34:F34"/>
    <mergeCell ref="A35:F35"/>
    <mergeCell ref="A36:F36"/>
  </mergeCells>
  <dataValidations>
    <dataValidation type="custom" allowBlank="1" showDropDown="1" sqref="E14:G18 E24:G30">
      <formula1>AND(ISNUMBER(E14),(NOT(OR(NOT(ISERROR(DATEVALUE(E14))), AND(ISNUMBER(E14), LEFT(CELL("format", E14))="D")))))</formula1>
    </dataValidation>
    <dataValidation type="list" allowBlank="1" sqref="D14:D18 D24:D30">
      <formula1>"Adam,Alli,Amanda,Amy,Cassidy,Carmela,Devon,Deb,Kim,Kellie,Nick,Christian,Erin,Daniel,Grace,Meg,Andy,Forgie,Cassidy"</formula1>
    </dataValidation>
  </dataValidations>
  <drawing r:id="rId1"/>
  <tableParts count="2">
    <tablePart r:id="rId4"/>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22.75"/>
    <col customWidth="1" min="2" max="2" width="38.38"/>
    <col customWidth="1" min="3" max="3" width="13.63"/>
    <col customWidth="1" min="4" max="6" width="12.13"/>
    <col customWidth="1" min="7" max="8" width="25.0"/>
  </cols>
  <sheetData>
    <row r="1" ht="22.5" customHeight="1">
      <c r="A1" s="113" t="s">
        <v>148</v>
      </c>
      <c r="B1" s="113" t="s">
        <v>9</v>
      </c>
      <c r="C1" s="114" t="s">
        <v>10</v>
      </c>
      <c r="D1" s="114" t="s">
        <v>11</v>
      </c>
      <c r="E1" s="115" t="s">
        <v>12</v>
      </c>
      <c r="F1" s="115" t="s">
        <v>13</v>
      </c>
      <c r="G1" s="116" t="s">
        <v>137</v>
      </c>
      <c r="H1" s="113" t="s">
        <v>14</v>
      </c>
    </row>
    <row r="2" ht="22.5" customHeight="1">
      <c r="A2" s="117" t="s">
        <v>149</v>
      </c>
      <c r="B2" s="118"/>
      <c r="C2" s="119"/>
      <c r="D2" s="118"/>
      <c r="E2" s="120"/>
      <c r="F2" s="120"/>
      <c r="G2" s="121"/>
      <c r="H2" s="117"/>
    </row>
    <row r="3" ht="22.5" customHeight="1">
      <c r="A3" s="80" t="s">
        <v>150</v>
      </c>
      <c r="B3" s="80"/>
      <c r="C3" s="104"/>
      <c r="D3" s="122">
        <v>1.0</v>
      </c>
      <c r="E3" s="123">
        <v>150.0</v>
      </c>
      <c r="F3" s="123">
        <f t="shared" ref="F3:F5" si="1">D3*E3</f>
        <v>150</v>
      </c>
      <c r="G3" s="124" t="s">
        <v>43</v>
      </c>
      <c r="H3" s="125"/>
    </row>
    <row r="4" ht="22.5" customHeight="1">
      <c r="A4" s="80" t="s">
        <v>151</v>
      </c>
      <c r="B4" s="80"/>
      <c r="C4" s="104"/>
      <c r="D4" s="122">
        <v>2.0</v>
      </c>
      <c r="E4" s="123">
        <v>150.0</v>
      </c>
      <c r="F4" s="123">
        <f t="shared" si="1"/>
        <v>300</v>
      </c>
      <c r="G4" s="124" t="s">
        <v>43</v>
      </c>
      <c r="H4" s="125"/>
    </row>
    <row r="5" ht="22.5" customHeight="1">
      <c r="A5" s="80" t="s">
        <v>152</v>
      </c>
      <c r="B5" s="80" t="s">
        <v>153</v>
      </c>
      <c r="C5" s="104"/>
      <c r="D5" s="122">
        <v>3.0</v>
      </c>
      <c r="E5" s="123">
        <v>150.0</v>
      </c>
      <c r="F5" s="123">
        <f t="shared" si="1"/>
        <v>450</v>
      </c>
      <c r="G5" s="124" t="s">
        <v>43</v>
      </c>
      <c r="H5" s="125"/>
    </row>
    <row r="6">
      <c r="A6" s="126"/>
      <c r="B6" s="127"/>
      <c r="C6" s="127"/>
      <c r="D6" s="127"/>
      <c r="E6" s="128"/>
      <c r="F6" s="128"/>
      <c r="G6" s="126"/>
      <c r="H6" s="126"/>
    </row>
    <row r="7">
      <c r="A7" s="129" t="s">
        <v>147</v>
      </c>
      <c r="G7" s="126"/>
      <c r="H7" s="126"/>
    </row>
    <row r="8">
      <c r="A8" s="130" t="s">
        <v>154</v>
      </c>
      <c r="G8" s="126"/>
      <c r="H8" s="126"/>
    </row>
    <row r="9">
      <c r="A9" s="126"/>
      <c r="B9" s="127"/>
      <c r="C9" s="127"/>
      <c r="D9" s="127"/>
      <c r="E9" s="128"/>
      <c r="F9" s="128"/>
      <c r="G9" s="126"/>
      <c r="H9" s="126"/>
    </row>
  </sheetData>
  <mergeCells count="2">
    <mergeCell ref="A7:F7"/>
    <mergeCell ref="A8:F8"/>
  </mergeCells>
  <dataValidations>
    <dataValidation type="list" allowBlank="1" sqref="G2:G5">
      <formula1>"Creative Design"</formula1>
    </dataValidation>
    <dataValidation type="list" allowBlank="1" sqref="C2:C5">
      <formula1>"Erin,Nick,Deb"</formula1>
    </dataValidation>
  </dataValidations>
  <drawing r:id="rId1"/>
  <tableParts count="1">
    <tablePart r:id="rId3"/>
  </tableParts>
</worksheet>
</file>