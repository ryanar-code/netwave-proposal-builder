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undations" sheetId="1" r:id="rId5"/>
    <sheet state="visible" name="Growth" sheetId="2" r:id="rId6"/>
    <sheet state="visible" name="Acceleration" sheetId="3" r:id="rId7"/>
  </sheets>
  <definedNames/>
  <calcPr/>
</workbook>
</file>

<file path=xl/sharedStrings.xml><?xml version="1.0" encoding="utf-8"?>
<sst xmlns="http://schemas.openxmlformats.org/spreadsheetml/2006/main" count="72" uniqueCount="29">
  <si>
    <t>Internal Estimate</t>
  </si>
  <si>
    <t>Client:</t>
  </si>
  <si>
    <t>CLIENT:</t>
  </si>
  <si>
    <t>Project:</t>
  </si>
  <si>
    <t>SEO Foundations</t>
  </si>
  <si>
    <t>Date Estimated:</t>
  </si>
  <si>
    <t>DATE</t>
  </si>
  <si>
    <t>Service</t>
  </si>
  <si>
    <t>Description</t>
  </si>
  <si>
    <t>Team</t>
  </si>
  <si>
    <t>Hours</t>
  </si>
  <si>
    <t>Rate</t>
  </si>
  <si>
    <t>Markup</t>
  </si>
  <si>
    <t>Total</t>
  </si>
  <si>
    <t>Includes local keyword research, Google Business Profile (GBP) optimization, monthly GBP posts, grid tracking for local rankings, core SEO updates to key website pages, ongoing profile maintenance, and clear monthly reporting.</t>
  </si>
  <si>
    <t>High Altitude</t>
  </si>
  <si>
    <t>Account Management</t>
  </si>
  <si>
    <t>Your Account Manager will coordinate this project with you from start to finish. Their time will include emails, phone calls, and meetings to discuss project details and progress.</t>
  </si>
  <si>
    <t>Alli</t>
  </si>
  <si>
    <t>Monthly Total</t>
  </si>
  <si>
    <t>Notes:</t>
  </si>
  <si>
    <t>SEO Growth</t>
  </si>
  <si>
    <t>Copywriting - Optional</t>
  </si>
  <si>
    <t>1 SEO blog per month, 1 round of revisions</t>
  </si>
  <si>
    <t>Daniel</t>
  </si>
  <si>
    <t>SEO Acceleration</t>
  </si>
  <si>
    <t>SEO Full Acceleration Package</t>
  </si>
  <si>
    <t>Comprehensive SEO program including keyword research, full technical site audit, Google Business Profile optimization, grid tracking setup, on-page title/meta improvements, ongoing internal linking and content enhancements, monthly GBP posts and blog content strategy, continuous A/B testing, monthly reporting (narrative + keyword tracking), and quarterly strategy reviews to drive sustained visibility, traffic, and lead growth.</t>
  </si>
  <si>
    <t>2 SEO blog per month, 1 round of revisions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</si>
</sst>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7">
    <font>
      <sz val="10.0"/>
      <color rgb="FF000000"/>
      <name val="Arial"/>
      <scheme val="minor"/>
    </font>
    <font>
      <b/>
      <sz val="36.0"/>
      <color theme="1"/>
      <name val="DM Sans"/>
    </font>
    <font>
      <color theme="1"/>
      <name val="Arial"/>
    </font>
    <font>
      <sz val="11.0"/>
      <color theme="1"/>
      <name val="DM Sans"/>
    </font>
    <font>
      <b/>
      <sz val="11.0"/>
      <color theme="1"/>
      <name val="DM Sans"/>
    </font>
    <font>
      <b/>
      <sz val="9.0"/>
      <color theme="1"/>
      <name val="DM Sans"/>
    </font>
    <font>
      <sz val="9.0"/>
      <color theme="1"/>
      <name val="DM Sans"/>
    </font>
  </fonts>
  <fills count="4">
    <fill>
      <patternFill patternType="none"/>
    </fill>
    <fill>
      <patternFill patternType="lightGray"/>
    </fill>
    <fill>
      <patternFill patternType="solid">
        <fgColor rgb="FF00E2FF"/>
        <bgColor rgb="FF00E2FF"/>
      </patternFill>
    </fill>
    <fill>
      <patternFill patternType="solid">
        <fgColor rgb="FFF1F1F5"/>
        <bgColor rgb="FFF1F1F5"/>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vertical="center"/>
    </xf>
    <xf borderId="0" fillId="0" fontId="2" numFmtId="0" xfId="0" applyAlignment="1" applyFont="1">
      <alignment vertical="center"/>
    </xf>
    <xf borderId="0" fillId="0" fontId="3" numFmtId="0" xfId="0" applyAlignment="1" applyFont="1">
      <alignment shrinkToFit="0" vertical="center" wrapText="1"/>
    </xf>
    <xf borderId="0" fillId="2" fontId="4" numFmtId="0" xfId="0" applyAlignment="1" applyFill="1" applyFont="1">
      <alignment readingOrder="0" shrinkToFit="0" vertical="center" wrapText="1"/>
    </xf>
    <xf borderId="0" fillId="0" fontId="2" numFmtId="164" xfId="0" applyAlignment="1" applyFont="1" applyNumberFormat="1">
      <alignment vertical="center"/>
    </xf>
    <xf borderId="0" fillId="0" fontId="4" numFmtId="0" xfId="0" applyAlignment="1" applyFont="1">
      <alignment readingOrder="0" shrinkToFit="0" vertical="center" wrapText="1"/>
    </xf>
    <xf borderId="0" fillId="0" fontId="2" numFmtId="165" xfId="0" applyAlignment="1" applyFont="1" applyNumberFormat="1">
      <alignment vertical="center"/>
    </xf>
    <xf borderId="0" fillId="0" fontId="4" numFmtId="0" xfId="0" applyAlignment="1" applyFont="1">
      <alignment horizontal="left" readingOrder="0" shrinkToFit="0" vertical="center" wrapText="1"/>
    </xf>
    <xf borderId="0" fillId="0" fontId="3" numFmtId="0" xfId="0" applyFont="1"/>
    <xf borderId="0" fillId="0" fontId="4" numFmtId="0" xfId="0" applyAlignment="1" applyFont="1">
      <alignment horizontal="left" readingOrder="0" vertical="center"/>
    </xf>
    <xf borderId="0" fillId="0" fontId="4" numFmtId="0" xfId="0" applyAlignment="1" applyFont="1">
      <alignment horizontal="center" readingOrder="0" vertical="center"/>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0" fillId="0" fontId="4" numFmtId="0" xfId="0" applyAlignment="1" applyFon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6" numFmtId="165" xfId="0" applyAlignment="1" applyFont="1" applyNumberFormat="1">
      <alignment horizontal="center" readingOrder="0" shrinkToFit="0" vertical="center" wrapText="0"/>
    </xf>
    <xf borderId="0" fillId="0" fontId="6" numFmtId="4"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6" numFmtId="165" xfId="0" applyAlignment="1" applyFont="1" applyNumberFormat="1">
      <alignment horizontal="center" readingOrder="0" shrinkToFit="0" vertical="center" wrapText="0"/>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vertical="center"/>
    </xf>
    <xf borderId="0" fillId="3" fontId="4" numFmtId="0" xfId="0" applyAlignment="1" applyFill="1" applyFont="1">
      <alignment shrinkToFit="0" wrapText="1"/>
    </xf>
    <xf borderId="0" fillId="3" fontId="3" numFmtId="0" xfId="0" applyAlignment="1" applyFont="1">
      <alignment readingOrder="0" shrinkToFit="0" wrapText="1"/>
    </xf>
    <xf borderId="0" fillId="3" fontId="2" numFmtId="0" xfId="0" applyFont="1"/>
    <xf borderId="0" fillId="3" fontId="2" numFmtId="0" xfId="0" applyFont="1"/>
  </cellXfs>
  <cellStyles count="1">
    <cellStyle xfId="0" name="Normal" builtinId="0"/>
  </cellStyles>
  <dxfs count="6">
    <dxf>
      <font/>
      <fill>
        <patternFill patternType="none"/>
      </fill>
      <border/>
    </dxf>
    <dxf>
      <font/>
      <fill>
        <patternFill patternType="solid">
          <fgColor rgb="FF00E2FF"/>
          <bgColor rgb="FF00E2FF"/>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FF7FF"/>
          <bgColor rgb="FFBFF7FF"/>
        </patternFill>
      </fill>
      <border/>
    </dxf>
    <dxf>
      <border>
        <left style="thin">
          <color rgb="FF00E2FF"/>
        </left>
        <right style="thin">
          <color rgb="FF00E2FF"/>
        </right>
        <top style="thin">
          <color rgb="FF00E2FF"/>
        </top>
        <bottom style="thin">
          <color rgb="FF00E2FF"/>
        </bottom>
      </border>
    </dxf>
  </dxfs>
  <tableStyles count="3">
    <tableStyle count="5" pivot="0" name="Foundations-style">
      <tableStyleElement dxfId="1" type="headerRow"/>
      <tableStyleElement dxfId="2" type="firstRowStripe"/>
      <tableStyleElement dxfId="3" type="secondRowStripe"/>
      <tableStyleElement dxfId="4" type="totalRow"/>
      <tableStyleElement dxfId="5" size="0" type="wholeTable"/>
    </tableStyle>
    <tableStyle count="5" pivot="0" name="Growth-style">
      <tableStyleElement dxfId="1" type="headerRow"/>
      <tableStyleElement dxfId="2" type="firstRowStripe"/>
      <tableStyleElement dxfId="3" type="secondRowStripe"/>
      <tableStyleElement dxfId="4" type="totalRow"/>
      <tableStyleElement dxfId="5" size="0" type="wholeTable"/>
    </tableStyle>
    <tableStyle count="5" pivot="0" name="Acceleration-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3:G16" displayName="SEO_Foundations" name="SEO_Foundations" id="1">
  <tableColumns count="7">
    <tableColumn totalsRowLabel="Monthly Total" name="Service" id="1"/>
    <tableColumn name="Description" id="2"/>
    <tableColumn name="Team" id="3"/>
    <tableColumn name="Hours" id="4"/>
    <tableColumn name="Rate" id="5"/>
    <tableColumn name="Markup" id="6"/>
    <tableColumn totalsRowFunction="custom" name="Total" id="7"/>
  </tableColumns>
  <tableStyleInfo name="Foundations-style" showColumnStripes="0" showFirstColumn="1" showLastColumn="1" showRowStripes="1"/>
</table>
</file>

<file path=xl/tables/table2.xml><?xml version="1.0" encoding="utf-8"?>
<table xmlns="http://schemas.openxmlformats.org/spreadsheetml/2006/main" totalsRowCount="1" ref="A13:G17" displayName="Growth" name="Growth" id="2">
  <tableColumns count="7">
    <tableColumn totalsRowLabel="Monthly Total" name="Service" id="1"/>
    <tableColumn name="Description" id="2"/>
    <tableColumn name="Team" id="3"/>
    <tableColumn name="Hours" id="4"/>
    <tableColumn name="Rate" id="5"/>
    <tableColumn name="Markup" id="6"/>
    <tableColumn totalsRowFunction="custom" name="Total" id="7"/>
  </tableColumns>
  <tableStyleInfo name="Growth-style" showColumnStripes="0" showFirstColumn="1" showLastColumn="1" showRowStripes="1"/>
</table>
</file>

<file path=xl/tables/table3.xml><?xml version="1.0" encoding="utf-8"?>
<table xmlns="http://schemas.openxmlformats.org/spreadsheetml/2006/main" totalsRowCount="1" ref="A13:G17" displayName="Full_Acceleration" name="Full_Acceleration" id="3">
  <tableColumns count="7">
    <tableColumn totalsRowLabel="Monthly Total" name="Service" id="1"/>
    <tableColumn name="Description" id="2"/>
    <tableColumn name="Team" id="3"/>
    <tableColumn name="Hours" id="4"/>
    <tableColumn name="Rate" id="5"/>
    <tableColumn name="Markup" id="6"/>
    <tableColumn totalsRowFunction="custom" name="Total" id="7"/>
  </tableColumns>
  <tableStyleInfo name="Accele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5"/>
    <col customWidth="1" min="2" max="2" width="35.25"/>
    <col customWidth="1" min="3" max="3" width="14.75"/>
    <col customWidth="1" min="4" max="4" width="14.0"/>
    <col customWidth="1" min="5" max="5" width="12.75"/>
    <col customWidth="1" min="6" max="6" width="15.63"/>
    <col customWidth="1" min="7" max="7" width="13.13"/>
  </cols>
  <sheetData>
    <row r="1">
      <c r="A1" s="1" t="s">
        <v>0</v>
      </c>
    </row>
    <row r="2">
      <c r="A2" s="2"/>
      <c r="B2" s="3"/>
      <c r="C2" s="3"/>
      <c r="D2" s="3"/>
      <c r="E2" s="3"/>
      <c r="F2" s="3"/>
      <c r="G2" s="3"/>
    </row>
    <row r="3">
      <c r="A3" s="4" t="s">
        <v>1</v>
      </c>
      <c r="B3" s="3"/>
      <c r="C3" s="2"/>
      <c r="D3" s="3"/>
      <c r="E3" s="3"/>
      <c r="F3" s="3"/>
      <c r="G3" s="3"/>
    </row>
    <row r="4">
      <c r="A4" s="5" t="s">
        <v>2</v>
      </c>
      <c r="B4" s="3"/>
      <c r="C4" s="6"/>
      <c r="D4" s="3"/>
      <c r="E4" s="3"/>
      <c r="F4" s="3"/>
      <c r="G4" s="3"/>
    </row>
    <row r="5">
      <c r="A5" s="3"/>
      <c r="B5" s="3"/>
      <c r="C5" s="3"/>
      <c r="D5" s="3"/>
      <c r="E5" s="3"/>
      <c r="F5" s="3"/>
      <c r="G5" s="3"/>
    </row>
    <row r="6">
      <c r="A6" s="4" t="s">
        <v>3</v>
      </c>
      <c r="B6" s="3"/>
      <c r="C6" s="2"/>
      <c r="D6" s="2"/>
      <c r="E6" s="2"/>
      <c r="F6" s="3"/>
      <c r="G6" s="3"/>
    </row>
    <row r="7">
      <c r="A7" s="7" t="s">
        <v>4</v>
      </c>
      <c r="B7" s="3"/>
      <c r="C7" s="2"/>
      <c r="D7" s="2"/>
      <c r="E7" s="8"/>
      <c r="F7" s="3"/>
      <c r="G7" s="3"/>
    </row>
    <row r="8">
      <c r="A8" s="3"/>
      <c r="B8" s="3"/>
      <c r="C8" s="2"/>
      <c r="D8" s="2"/>
      <c r="E8" s="8"/>
      <c r="F8" s="3"/>
      <c r="G8" s="3"/>
    </row>
    <row r="9">
      <c r="A9" s="4" t="s">
        <v>5</v>
      </c>
      <c r="B9" s="2"/>
      <c r="C9" s="2"/>
      <c r="D9" s="2"/>
      <c r="E9" s="2"/>
      <c r="F9" s="2"/>
      <c r="G9" s="2"/>
    </row>
    <row r="10">
      <c r="A10" s="9" t="s">
        <v>6</v>
      </c>
      <c r="B10" s="2"/>
      <c r="C10" s="2"/>
      <c r="D10" s="2"/>
      <c r="E10" s="2"/>
      <c r="F10" s="2"/>
      <c r="G10" s="2"/>
    </row>
    <row r="11">
      <c r="A11" s="2"/>
      <c r="B11" s="2"/>
      <c r="C11" s="2"/>
      <c r="D11" s="2"/>
      <c r="E11" s="2"/>
      <c r="F11" s="2"/>
      <c r="G11" s="2"/>
    </row>
    <row r="12">
      <c r="A12" s="10"/>
      <c r="B12" s="11"/>
      <c r="C12" s="11"/>
      <c r="D12" s="12"/>
      <c r="E12" s="11"/>
      <c r="F12" s="11"/>
      <c r="G12" s="11"/>
    </row>
    <row r="13" ht="36.75" customHeight="1">
      <c r="A13" s="13" t="s">
        <v>7</v>
      </c>
      <c r="B13" s="14" t="s">
        <v>8</v>
      </c>
      <c r="C13" s="15" t="s">
        <v>9</v>
      </c>
      <c r="D13" s="15" t="s">
        <v>10</v>
      </c>
      <c r="E13" s="15" t="s">
        <v>11</v>
      </c>
      <c r="F13" s="16" t="s">
        <v>12</v>
      </c>
      <c r="G13" s="15" t="s">
        <v>13</v>
      </c>
    </row>
    <row r="14" ht="22.5" customHeight="1">
      <c r="A14" s="17" t="s">
        <v>4</v>
      </c>
      <c r="B14" s="18" t="s">
        <v>14</v>
      </c>
      <c r="C14" s="19" t="s">
        <v>15</v>
      </c>
      <c r="D14" s="20"/>
      <c r="E14" s="21">
        <v>599.0</v>
      </c>
      <c r="F14" s="22">
        <v>2.0</v>
      </c>
      <c r="G14" s="21">
        <f>E14*F14</f>
        <v>1198</v>
      </c>
    </row>
    <row r="15" ht="22.5" customHeight="1">
      <c r="A15" s="17" t="s">
        <v>16</v>
      </c>
      <c r="B15" s="18" t="s">
        <v>17</v>
      </c>
      <c r="C15" s="19" t="s">
        <v>18</v>
      </c>
      <c r="D15" s="20">
        <v>3.0</v>
      </c>
      <c r="E15" s="21">
        <v>100.0</v>
      </c>
      <c r="F15" s="22"/>
      <c r="G15" s="21">
        <f>D15*E15</f>
        <v>300</v>
      </c>
    </row>
    <row r="16" ht="22.5" customHeight="1">
      <c r="A16" s="23" t="s">
        <v>19</v>
      </c>
      <c r="B16" s="24"/>
      <c r="C16" s="25"/>
      <c r="D16" s="26"/>
      <c r="E16" s="26"/>
      <c r="F16" s="26"/>
      <c r="G16" s="27">
        <f>SUM(SEO_Foundations[Total])</f>
        <v>1498</v>
      </c>
    </row>
    <row r="17">
      <c r="A17" s="28"/>
      <c r="B17" s="29"/>
      <c r="C17" s="30"/>
      <c r="D17" s="30"/>
      <c r="E17" s="30"/>
      <c r="F17" s="30"/>
      <c r="G17" s="30"/>
    </row>
    <row r="18">
      <c r="A18" s="31" t="s">
        <v>20</v>
      </c>
    </row>
    <row r="19">
      <c r="A19" s="32"/>
    </row>
    <row r="20">
      <c r="A20" s="33"/>
    </row>
    <row r="21">
      <c r="A21" s="34"/>
    </row>
    <row r="22">
      <c r="A22" s="28"/>
      <c r="B22" s="29"/>
      <c r="C22" s="28"/>
      <c r="D22" s="30"/>
      <c r="E22" s="28"/>
      <c r="F22" s="28"/>
      <c r="G22" s="28"/>
    </row>
    <row r="23">
      <c r="A23" s="28"/>
      <c r="B23" s="29"/>
      <c r="C23" s="28"/>
      <c r="D23" s="30"/>
      <c r="E23" s="28"/>
      <c r="F23" s="28"/>
      <c r="G23" s="28"/>
    </row>
    <row r="24">
      <c r="A24" s="28"/>
      <c r="B24" s="29"/>
      <c r="C24" s="28"/>
      <c r="D24" s="30"/>
      <c r="E24" s="28"/>
      <c r="F24" s="28"/>
      <c r="G24" s="28"/>
    </row>
    <row r="25">
      <c r="A25" s="28"/>
      <c r="B25" s="29"/>
      <c r="C25" s="28"/>
      <c r="D25" s="30"/>
      <c r="E25" s="28"/>
      <c r="F25" s="28"/>
      <c r="G25" s="28"/>
    </row>
    <row r="26">
      <c r="A26" s="28"/>
      <c r="B26" s="29"/>
      <c r="C26" s="28"/>
      <c r="D26" s="30"/>
      <c r="E26" s="28"/>
      <c r="F26" s="28"/>
      <c r="G26" s="28"/>
    </row>
    <row r="27">
      <c r="A27" s="28"/>
      <c r="B27" s="29"/>
      <c r="C27" s="28"/>
      <c r="D27" s="30"/>
      <c r="E27" s="28"/>
      <c r="F27" s="28"/>
      <c r="G27" s="28"/>
    </row>
  </sheetData>
  <mergeCells count="5">
    <mergeCell ref="A1:G1"/>
    <mergeCell ref="A18:G18"/>
    <mergeCell ref="A19:G19"/>
    <mergeCell ref="A20:G20"/>
    <mergeCell ref="A21:G21"/>
  </mergeCells>
  <dataValidations>
    <dataValidation type="list" allowBlank="1" sqref="C14:C15">
      <formula1>"Adam,Alli,Amanda,Amy,Cassidy,Carmela,Devon,Deb,Kim,Kellie,Nick,Christian,Erin,Daniel,Grace,Meg,Andy,Forgie,Cassidy,High Altitude"</formula1>
    </dataValidation>
    <dataValidation type="custom" allowBlank="1" showDropDown="1" sqref="D14:G15">
      <formula1>AND(ISNUMBER(D14),(NOT(OR(NOT(ISERROR(DATEVALUE(D14))), AND(ISNUMBER(D14), LEFT(CELL("format", D14))="D")))))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5"/>
    <col customWidth="1" min="2" max="2" width="35.25"/>
    <col customWidth="1" min="3" max="3" width="14.75"/>
    <col customWidth="1" min="4" max="4" width="14.0"/>
    <col customWidth="1" min="5" max="5" width="12.75"/>
    <col customWidth="1" min="6" max="6" width="15.63"/>
    <col customWidth="1" min="7" max="7" width="13.13"/>
  </cols>
  <sheetData>
    <row r="1">
      <c r="A1" s="1" t="s">
        <v>0</v>
      </c>
    </row>
    <row r="2">
      <c r="A2" s="2"/>
      <c r="B2" s="3"/>
      <c r="C2" s="3"/>
      <c r="D2" s="3"/>
      <c r="E2" s="3"/>
      <c r="F2" s="3"/>
      <c r="G2" s="3"/>
    </row>
    <row r="3">
      <c r="A3" s="4" t="s">
        <v>1</v>
      </c>
      <c r="B3" s="3"/>
      <c r="C3" s="2"/>
      <c r="D3" s="3"/>
      <c r="E3" s="3"/>
      <c r="F3" s="3"/>
      <c r="G3" s="3"/>
    </row>
    <row r="4">
      <c r="A4" s="5" t="s">
        <v>2</v>
      </c>
      <c r="B4" s="3"/>
      <c r="C4" s="6"/>
      <c r="D4" s="3"/>
      <c r="E4" s="3"/>
      <c r="F4" s="3"/>
      <c r="G4" s="3"/>
    </row>
    <row r="5">
      <c r="A5" s="3"/>
      <c r="B5" s="3"/>
      <c r="C5" s="3"/>
      <c r="D5" s="3"/>
      <c r="E5" s="3"/>
      <c r="F5" s="3"/>
      <c r="G5" s="3"/>
    </row>
    <row r="6">
      <c r="A6" s="4" t="s">
        <v>3</v>
      </c>
      <c r="B6" s="3"/>
      <c r="C6" s="2"/>
      <c r="D6" s="2"/>
      <c r="E6" s="2"/>
      <c r="F6" s="3"/>
      <c r="G6" s="3"/>
    </row>
    <row r="7">
      <c r="A7" s="7" t="s">
        <v>21</v>
      </c>
      <c r="B7" s="3"/>
      <c r="C7" s="2"/>
      <c r="D7" s="2"/>
      <c r="E7" s="8"/>
      <c r="F7" s="3"/>
      <c r="G7" s="3"/>
    </row>
    <row r="8">
      <c r="A8" s="3"/>
      <c r="B8" s="3"/>
      <c r="C8" s="2"/>
      <c r="D8" s="2"/>
      <c r="E8" s="8"/>
      <c r="F8" s="3"/>
      <c r="G8" s="3"/>
    </row>
    <row r="9">
      <c r="A9" s="4" t="s">
        <v>5</v>
      </c>
      <c r="B9" s="2"/>
      <c r="C9" s="2"/>
      <c r="D9" s="2"/>
      <c r="E9" s="2"/>
      <c r="F9" s="2"/>
      <c r="G9" s="2"/>
    </row>
    <row r="10">
      <c r="A10" s="9" t="s">
        <v>6</v>
      </c>
      <c r="B10" s="2"/>
      <c r="C10" s="2"/>
      <c r="D10" s="2"/>
      <c r="E10" s="2"/>
      <c r="F10" s="2"/>
      <c r="G10" s="2"/>
    </row>
    <row r="11">
      <c r="A11" s="2"/>
      <c r="B11" s="2"/>
      <c r="C11" s="2"/>
      <c r="D11" s="2"/>
      <c r="E11" s="2"/>
      <c r="F11" s="2"/>
      <c r="G11" s="2"/>
    </row>
    <row r="12">
      <c r="A12" s="10"/>
      <c r="B12" s="11"/>
      <c r="C12" s="11"/>
      <c r="D12" s="12"/>
      <c r="E12" s="11"/>
      <c r="F12" s="11"/>
      <c r="G12" s="11"/>
    </row>
    <row r="13" ht="36.75" customHeight="1">
      <c r="A13" s="13" t="s">
        <v>7</v>
      </c>
      <c r="B13" s="14" t="s">
        <v>8</v>
      </c>
      <c r="C13" s="15" t="s">
        <v>9</v>
      </c>
      <c r="D13" s="15" t="s">
        <v>10</v>
      </c>
      <c r="E13" s="15" t="s">
        <v>11</v>
      </c>
      <c r="F13" s="16" t="s">
        <v>12</v>
      </c>
      <c r="G13" s="15" t="s">
        <v>13</v>
      </c>
    </row>
    <row r="14" ht="22.5" customHeight="1">
      <c r="A14" s="17" t="s">
        <v>21</v>
      </c>
      <c r="B14" s="18" t="s">
        <v>14</v>
      </c>
      <c r="C14" s="19" t="s">
        <v>15</v>
      </c>
      <c r="D14" s="20"/>
      <c r="E14" s="21">
        <v>899.0</v>
      </c>
      <c r="F14" s="22">
        <v>2.0</v>
      </c>
      <c r="G14" s="21">
        <f>E14*F14</f>
        <v>1798</v>
      </c>
    </row>
    <row r="15" ht="22.5" customHeight="1">
      <c r="A15" s="17" t="s">
        <v>16</v>
      </c>
      <c r="B15" s="18" t="s">
        <v>17</v>
      </c>
      <c r="C15" s="19" t="s">
        <v>18</v>
      </c>
      <c r="D15" s="20">
        <v>3.0</v>
      </c>
      <c r="E15" s="21">
        <v>100.0</v>
      </c>
      <c r="F15" s="22"/>
      <c r="G15" s="21">
        <f t="shared" ref="G15:G16" si="1">D15*E15</f>
        <v>300</v>
      </c>
    </row>
    <row r="16" ht="22.5" customHeight="1">
      <c r="A16" s="17" t="s">
        <v>22</v>
      </c>
      <c r="B16" s="18" t="s">
        <v>23</v>
      </c>
      <c r="C16" s="19" t="s">
        <v>24</v>
      </c>
      <c r="D16" s="20">
        <v>4.0</v>
      </c>
      <c r="E16" s="21">
        <v>150.0</v>
      </c>
      <c r="F16" s="22"/>
      <c r="G16" s="21">
        <f t="shared" si="1"/>
        <v>600</v>
      </c>
    </row>
    <row r="17" ht="22.5" customHeight="1">
      <c r="A17" s="23" t="s">
        <v>19</v>
      </c>
      <c r="B17" s="24"/>
      <c r="C17" s="25"/>
      <c r="D17" s="26"/>
      <c r="E17" s="26"/>
      <c r="F17" s="26"/>
      <c r="G17" s="27">
        <f>SUM(Growth[Total])</f>
        <v>2698</v>
      </c>
    </row>
    <row r="18">
      <c r="A18" s="28"/>
      <c r="B18" s="29"/>
      <c r="C18" s="30"/>
      <c r="D18" s="30"/>
      <c r="E18" s="30"/>
      <c r="F18" s="30"/>
      <c r="G18" s="30"/>
    </row>
    <row r="19">
      <c r="A19" s="31" t="s">
        <v>20</v>
      </c>
    </row>
    <row r="20">
      <c r="A20" s="32"/>
    </row>
    <row r="21">
      <c r="A21" s="33"/>
    </row>
    <row r="22">
      <c r="A22" s="34"/>
    </row>
    <row r="23">
      <c r="A23" s="28"/>
      <c r="B23" s="29"/>
      <c r="C23" s="28"/>
      <c r="D23" s="30"/>
      <c r="E23" s="28"/>
      <c r="F23" s="28"/>
      <c r="G23" s="28"/>
    </row>
    <row r="24">
      <c r="A24" s="28"/>
      <c r="B24" s="29"/>
      <c r="C24" s="28"/>
      <c r="D24" s="30"/>
      <c r="E24" s="28"/>
      <c r="F24" s="28"/>
      <c r="G24" s="28"/>
    </row>
    <row r="25">
      <c r="A25" s="28"/>
      <c r="B25" s="29"/>
      <c r="C25" s="28"/>
      <c r="D25" s="30"/>
      <c r="E25" s="28"/>
      <c r="F25" s="28"/>
      <c r="G25" s="28"/>
    </row>
    <row r="26">
      <c r="A26" s="28"/>
      <c r="B26" s="29"/>
      <c r="C26" s="28"/>
      <c r="D26" s="30"/>
      <c r="E26" s="28"/>
      <c r="F26" s="28"/>
      <c r="G26" s="28"/>
    </row>
    <row r="27">
      <c r="A27" s="28"/>
      <c r="B27" s="29"/>
      <c r="C27" s="28"/>
      <c r="D27" s="30"/>
      <c r="E27" s="28"/>
      <c r="F27" s="28"/>
      <c r="G27" s="28"/>
    </row>
    <row r="28">
      <c r="A28" s="28"/>
      <c r="B28" s="29"/>
      <c r="C28" s="28"/>
      <c r="D28" s="30"/>
      <c r="E28" s="28"/>
      <c r="F28" s="28"/>
      <c r="G28" s="28"/>
    </row>
  </sheetData>
  <mergeCells count="5">
    <mergeCell ref="A1:G1"/>
    <mergeCell ref="A19:G19"/>
    <mergeCell ref="A20:G20"/>
    <mergeCell ref="A21:G21"/>
    <mergeCell ref="A22:G22"/>
  </mergeCells>
  <dataValidations>
    <dataValidation type="list" allowBlank="1" sqref="C14:C16">
      <formula1>"Adam,Alli,Amanda,Amy,Cassidy,Carmela,Devon,Deb,Kim,Kellie,Nick,Christian,Erin,Daniel,Grace,Meg,Andy,Forgie,Cassidy,High Altitude"</formula1>
    </dataValidation>
    <dataValidation type="custom" allowBlank="1" showDropDown="1" sqref="D14:G16">
      <formula1>AND(ISNUMBER(D14),(NOT(OR(NOT(ISERROR(DATEVALUE(D14))), AND(ISNUMBER(D14), LEFT(CELL("format", D14))="D")))))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5"/>
    <col customWidth="1" min="2" max="2" width="35.25"/>
    <col customWidth="1" min="3" max="3" width="14.75"/>
    <col customWidth="1" min="4" max="4" width="14.0"/>
    <col customWidth="1" min="5" max="5" width="12.75"/>
    <col customWidth="1" min="6" max="6" width="15.63"/>
    <col customWidth="1" min="7" max="7" width="13.13"/>
  </cols>
  <sheetData>
    <row r="1">
      <c r="A1" s="1" t="s">
        <v>0</v>
      </c>
    </row>
    <row r="2">
      <c r="A2" s="2"/>
      <c r="B2" s="3"/>
      <c r="C2" s="3"/>
      <c r="D2" s="3"/>
      <c r="E2" s="3"/>
      <c r="F2" s="3"/>
      <c r="G2" s="3"/>
    </row>
    <row r="3">
      <c r="A3" s="4" t="s">
        <v>1</v>
      </c>
      <c r="B3" s="3"/>
      <c r="C3" s="2"/>
      <c r="D3" s="3"/>
      <c r="E3" s="3"/>
      <c r="F3" s="3"/>
      <c r="G3" s="3"/>
    </row>
    <row r="4">
      <c r="A4" s="5" t="s">
        <v>2</v>
      </c>
      <c r="B4" s="3"/>
      <c r="C4" s="6"/>
      <c r="D4" s="3"/>
      <c r="E4" s="3"/>
      <c r="F4" s="3"/>
      <c r="G4" s="3"/>
    </row>
    <row r="5">
      <c r="A5" s="3"/>
      <c r="B5" s="3"/>
      <c r="C5" s="3"/>
      <c r="D5" s="3"/>
      <c r="E5" s="3"/>
      <c r="F5" s="3"/>
      <c r="G5" s="3"/>
    </row>
    <row r="6">
      <c r="A6" s="4" t="s">
        <v>3</v>
      </c>
      <c r="B6" s="3"/>
      <c r="C6" s="2"/>
      <c r="D6" s="2"/>
      <c r="E6" s="2"/>
      <c r="F6" s="3"/>
      <c r="G6" s="3"/>
    </row>
    <row r="7">
      <c r="A7" s="7" t="s">
        <v>25</v>
      </c>
      <c r="B7" s="3"/>
      <c r="C7" s="2"/>
      <c r="D7" s="2"/>
      <c r="E7" s="8"/>
      <c r="F7" s="3"/>
      <c r="G7" s="3"/>
    </row>
    <row r="8">
      <c r="A8" s="3"/>
      <c r="B8" s="3"/>
      <c r="C8" s="2"/>
      <c r="D8" s="2"/>
      <c r="E8" s="8"/>
      <c r="F8" s="3"/>
      <c r="G8" s="3"/>
    </row>
    <row r="9">
      <c r="A9" s="4" t="s">
        <v>5</v>
      </c>
      <c r="B9" s="2"/>
      <c r="C9" s="2"/>
      <c r="D9" s="2"/>
      <c r="E9" s="2"/>
      <c r="F9" s="2"/>
      <c r="G9" s="2"/>
    </row>
    <row r="10">
      <c r="A10" s="9" t="s">
        <v>6</v>
      </c>
      <c r="B10" s="2"/>
      <c r="C10" s="2"/>
      <c r="D10" s="2"/>
      <c r="E10" s="2"/>
      <c r="F10" s="2"/>
      <c r="G10" s="2"/>
    </row>
    <row r="11">
      <c r="A11" s="2"/>
      <c r="B11" s="2"/>
      <c r="C11" s="2"/>
      <c r="D11" s="2"/>
      <c r="E11" s="2"/>
      <c r="F11" s="2"/>
      <c r="G11" s="2"/>
    </row>
    <row r="12">
      <c r="A12" s="10"/>
      <c r="B12" s="11"/>
      <c r="C12" s="11"/>
      <c r="D12" s="12"/>
      <c r="E12" s="11"/>
      <c r="F12" s="11"/>
      <c r="G12" s="11"/>
    </row>
    <row r="13" ht="36.75" customHeight="1">
      <c r="A13" s="13" t="s">
        <v>7</v>
      </c>
      <c r="B13" s="14" t="s">
        <v>8</v>
      </c>
      <c r="C13" s="15" t="s">
        <v>9</v>
      </c>
      <c r="D13" s="15" t="s">
        <v>10</v>
      </c>
      <c r="E13" s="15" t="s">
        <v>11</v>
      </c>
      <c r="F13" s="16" t="s">
        <v>12</v>
      </c>
      <c r="G13" s="15" t="s">
        <v>13</v>
      </c>
    </row>
    <row r="14" ht="22.5" customHeight="1">
      <c r="A14" s="17" t="s">
        <v>26</v>
      </c>
      <c r="B14" s="18" t="s">
        <v>27</v>
      </c>
      <c r="C14" s="19" t="s">
        <v>15</v>
      </c>
      <c r="D14" s="20"/>
      <c r="E14" s="21">
        <v>1499.0</v>
      </c>
      <c r="F14" s="22">
        <v>2.0</v>
      </c>
      <c r="G14" s="21">
        <f>E14*F14</f>
        <v>2998</v>
      </c>
    </row>
    <row r="15" ht="22.5" customHeight="1">
      <c r="A15" s="17" t="s">
        <v>16</v>
      </c>
      <c r="B15" s="18" t="s">
        <v>17</v>
      </c>
      <c r="C15" s="19" t="s">
        <v>18</v>
      </c>
      <c r="D15" s="20">
        <v>3.0</v>
      </c>
      <c r="E15" s="21">
        <v>100.0</v>
      </c>
      <c r="F15" s="22"/>
      <c r="G15" s="21">
        <f t="shared" ref="G15:G16" si="1">D15*E15</f>
        <v>300</v>
      </c>
    </row>
    <row r="16" ht="22.5" customHeight="1">
      <c r="A16" s="17" t="s">
        <v>22</v>
      </c>
      <c r="B16" s="18" t="s">
        <v>28</v>
      </c>
      <c r="C16" s="19" t="s">
        <v>24</v>
      </c>
      <c r="D16" s="20">
        <v>6.0</v>
      </c>
      <c r="E16" s="21">
        <v>150.0</v>
      </c>
      <c r="F16" s="22"/>
      <c r="G16" s="21">
        <f t="shared" si="1"/>
        <v>900</v>
      </c>
    </row>
    <row r="17" ht="22.5" customHeight="1">
      <c r="A17" s="23" t="s">
        <v>19</v>
      </c>
      <c r="B17" s="24"/>
      <c r="C17" s="25"/>
      <c r="D17" s="26"/>
      <c r="E17" s="26"/>
      <c r="F17" s="26"/>
      <c r="G17" s="27">
        <f>SUM(Full_Acceleration[Total])</f>
        <v>4198</v>
      </c>
    </row>
    <row r="18">
      <c r="A18" s="28"/>
      <c r="B18" s="29"/>
      <c r="C18" s="30"/>
      <c r="D18" s="30"/>
      <c r="E18" s="30"/>
      <c r="F18" s="30"/>
      <c r="G18" s="30"/>
    </row>
    <row r="19">
      <c r="A19" s="31" t="s">
        <v>20</v>
      </c>
    </row>
    <row r="20">
      <c r="A20" s="32"/>
    </row>
    <row r="21">
      <c r="A21" s="33"/>
    </row>
    <row r="22">
      <c r="A22" s="34"/>
    </row>
    <row r="23">
      <c r="A23" s="28"/>
      <c r="B23" s="29"/>
      <c r="C23" s="28"/>
      <c r="D23" s="30"/>
      <c r="E23" s="28"/>
      <c r="F23" s="28"/>
      <c r="G23" s="28"/>
    </row>
    <row r="24">
      <c r="A24" s="28"/>
      <c r="B24" s="29"/>
      <c r="C24" s="28"/>
      <c r="D24" s="30"/>
      <c r="E24" s="28"/>
      <c r="F24" s="28"/>
      <c r="G24" s="28"/>
    </row>
    <row r="25">
      <c r="A25" s="28"/>
      <c r="B25" s="29"/>
      <c r="C25" s="28"/>
      <c r="D25" s="30"/>
      <c r="E25" s="28"/>
      <c r="F25" s="28"/>
      <c r="G25" s="28"/>
    </row>
    <row r="26">
      <c r="A26" s="28"/>
      <c r="B26" s="29"/>
      <c r="C26" s="28"/>
      <c r="D26" s="30"/>
      <c r="E26" s="28"/>
      <c r="F26" s="28"/>
      <c r="G26" s="28"/>
    </row>
    <row r="27">
      <c r="A27" s="28"/>
      <c r="B27" s="29"/>
      <c r="C27" s="28"/>
      <c r="D27" s="30"/>
      <c r="E27" s="28"/>
      <c r="F27" s="28"/>
      <c r="G27" s="28"/>
    </row>
    <row r="28">
      <c r="A28" s="28"/>
      <c r="B28" s="29"/>
      <c r="C28" s="28"/>
      <c r="D28" s="30"/>
      <c r="E28" s="28"/>
      <c r="F28" s="28"/>
      <c r="G28" s="28"/>
    </row>
  </sheetData>
  <mergeCells count="5">
    <mergeCell ref="A1:G1"/>
    <mergeCell ref="A19:G19"/>
    <mergeCell ref="A20:G20"/>
    <mergeCell ref="A21:G21"/>
    <mergeCell ref="A22:G22"/>
  </mergeCells>
  <dataValidations>
    <dataValidation type="list" allowBlank="1" sqref="C14:C16">
      <formula1>"Adam,Alli,Amanda,Amy,Cassidy,Carmela,Devon,Deb,Kim,Kellie,Nick,Christian,Erin,Daniel,Grace,Meg,Andy,Forgie,Cassidy,High Altitude"</formula1>
    </dataValidation>
    <dataValidation type="custom" allowBlank="1" showDropDown="1" sqref="D14:G16">
      <formula1>AND(ISNUMBER(D14),(NOT(OR(NOT(ISERROR(DATEVALUE(D14))), AND(ISNUMBER(D14), LEFT(CELL("format", D14))="D")))))</formula1>
    </dataValidation>
  </dataValidations>
  <drawing r:id="rId1"/>
  <tableParts count="1">
    <tablePart r:id="rId3"/>
  </tableParts>
</worksheet>
</file>